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B93CA94B-A5A5-49E2-BD60-AC10518494A0}" xr6:coauthVersionLast="47" xr6:coauthVersionMax="47" xr10:uidLastSave="{00000000-0000-0000-0000-000000000000}"/>
  <bookViews>
    <workbookView xWindow="-120" yWindow="-120" windowWidth="29040" windowHeight="15720" activeTab="5" xr2:uid="{4A7B64B1-6912-4AD9-928F-28D54A1FA4F2}"/>
  </bookViews>
  <sheets>
    <sheet name="2023" sheetId="1" r:id="rId1"/>
    <sheet name="2024" sheetId="3" r:id="rId2"/>
    <sheet name="2025" sheetId="6" r:id="rId3"/>
    <sheet name="Sheet1" sheetId="7" r:id="rId4"/>
    <sheet name="Stock" sheetId="2" r:id="rId5"/>
    <sheet name="Pricing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4" l="1"/>
  <c r="B19" i="4"/>
  <c r="B18" i="4"/>
  <c r="EC22" i="2"/>
  <c r="EA104" i="2" s="1"/>
  <c r="ED126" i="2"/>
  <c r="ED127" i="2"/>
  <c r="ED128" i="2"/>
  <c r="ED129" i="2"/>
  <c r="ED130" i="2"/>
  <c r="ED131" i="2"/>
  <c r="ED132" i="2"/>
  <c r="ED125" i="2"/>
  <c r="ED133" i="2" s="1"/>
  <c r="EE133" i="2" s="1"/>
  <c r="EA122" i="2"/>
  <c r="EE122" i="2" s="1"/>
  <c r="EA114" i="2"/>
  <c r="EA113" i="2"/>
  <c r="EA112" i="2"/>
  <c r="EA111" i="2"/>
  <c r="EA110" i="2"/>
  <c r="EA109" i="2"/>
  <c r="EA105" i="2"/>
  <c r="EA103" i="2"/>
  <c r="EA102" i="2"/>
  <c r="DV87" i="2"/>
  <c r="DT126" i="2" s="1"/>
  <c r="AU119" i="6"/>
  <c r="AU97" i="6"/>
  <c r="AU90" i="6"/>
  <c r="AU79" i="6"/>
  <c r="AU67" i="6"/>
  <c r="AT51" i="6"/>
  <c r="AT44" i="6"/>
  <c r="AU26" i="6"/>
  <c r="AT18" i="6"/>
  <c r="DT136" i="2"/>
  <c r="DX136" i="2" s="1"/>
  <c r="DV11" i="2"/>
  <c r="DT118" i="2" s="1"/>
  <c r="DV34" i="2"/>
  <c r="DT116" i="2" s="1"/>
  <c r="DV145" i="2"/>
  <c r="DV144" i="2"/>
  <c r="DV143" i="2"/>
  <c r="DV142" i="2"/>
  <c r="DV105" i="2"/>
  <c r="DT127" i="2" s="1"/>
  <c r="DV112" i="2"/>
  <c r="DT128" i="2" s="1"/>
  <c r="DV77" i="2"/>
  <c r="DT125" i="2" s="1"/>
  <c r="DV58" i="2"/>
  <c r="DT124" i="2" s="1"/>
  <c r="DV43" i="2"/>
  <c r="DV39" i="2"/>
  <c r="DV28" i="2"/>
  <c r="DT117" i="2" s="1"/>
  <c r="DV23" i="2"/>
  <c r="DV19" i="2"/>
  <c r="AQ121" i="6"/>
  <c r="AQ97" i="6"/>
  <c r="AQ90" i="6"/>
  <c r="AQ79" i="6"/>
  <c r="AQ67" i="6"/>
  <c r="AP51" i="6"/>
  <c r="AP44" i="6"/>
  <c r="AQ26" i="6"/>
  <c r="AP18" i="6"/>
  <c r="DO123" i="2"/>
  <c r="DO124" i="2"/>
  <c r="DO125" i="2"/>
  <c r="DO122" i="2"/>
  <c r="DM111" i="2"/>
  <c r="DO100" i="2"/>
  <c r="DM116" i="2" s="1"/>
  <c r="DO93" i="2"/>
  <c r="DM115" i="2" s="1"/>
  <c r="DO77" i="2"/>
  <c r="DM114" i="2" s="1"/>
  <c r="DO66" i="2"/>
  <c r="DM113" i="2" s="1"/>
  <c r="DO49" i="2"/>
  <c r="DM112" i="2" s="1"/>
  <c r="DO31" i="2"/>
  <c r="DM107" i="2" s="1"/>
  <c r="DO23" i="2"/>
  <c r="DO19" i="2"/>
  <c r="DO11" i="2"/>
  <c r="DM105" i="2" s="1"/>
  <c r="DO7" i="2"/>
  <c r="DM104" i="2" s="1"/>
  <c r="AM90" i="6"/>
  <c r="AM120" i="6"/>
  <c r="AM97" i="6"/>
  <c r="AM79" i="6"/>
  <c r="AM67" i="6"/>
  <c r="AL51" i="6"/>
  <c r="AL44" i="6"/>
  <c r="AM26" i="6"/>
  <c r="AL18" i="6"/>
  <c r="D16" i="7"/>
  <c r="E16" i="7"/>
  <c r="F16" i="7"/>
  <c r="DG52" i="2"/>
  <c r="DF109" i="2" s="1"/>
  <c r="DG20" i="2"/>
  <c r="DF103" i="2" s="1"/>
  <c r="AI118" i="6"/>
  <c r="DH122" i="2"/>
  <c r="DH123" i="2"/>
  <c r="DH124" i="2"/>
  <c r="DH125" i="2"/>
  <c r="DH126" i="2"/>
  <c r="DH121" i="2"/>
  <c r="D14" i="4"/>
  <c r="E14" i="4" s="1"/>
  <c r="DA118" i="2"/>
  <c r="DA119" i="2"/>
  <c r="DA120" i="2"/>
  <c r="DA121" i="2"/>
  <c r="DA117" i="2"/>
  <c r="CY105" i="2"/>
  <c r="CY99" i="2"/>
  <c r="DA7" i="2"/>
  <c r="CY98" i="2" s="1"/>
  <c r="DA19" i="2"/>
  <c r="CY100" i="2" s="1"/>
  <c r="DA30" i="2"/>
  <c r="CY101" i="2" s="1"/>
  <c r="DA45" i="2"/>
  <c r="CY106" i="2" s="1"/>
  <c r="DA66" i="2"/>
  <c r="CY107" i="2" s="1"/>
  <c r="DA74" i="2"/>
  <c r="CY108" i="2" s="1"/>
  <c r="DA85" i="2"/>
  <c r="CY109" i="2" s="1"/>
  <c r="DA93" i="2"/>
  <c r="CY110" i="2" s="1"/>
  <c r="DG97" i="2"/>
  <c r="DF113" i="2" s="1"/>
  <c r="DG90" i="2"/>
  <c r="DF112" i="2" s="1"/>
  <c r="DG75" i="2"/>
  <c r="DF111" i="2" s="1"/>
  <c r="DG67" i="2"/>
  <c r="DF110" i="2" s="1"/>
  <c r="DG39" i="2"/>
  <c r="DF108" i="2" s="1"/>
  <c r="DG35" i="2"/>
  <c r="DG28" i="2"/>
  <c r="DG24" i="2"/>
  <c r="DF102" i="2" s="1"/>
  <c r="DG7" i="2"/>
  <c r="DF101" i="2" s="1"/>
  <c r="AI95" i="6"/>
  <c r="AI88" i="6"/>
  <c r="AI79" i="6"/>
  <c r="AI67" i="6"/>
  <c r="AH51" i="6"/>
  <c r="AH44" i="6"/>
  <c r="AI26" i="6"/>
  <c r="AH18" i="6"/>
  <c r="G114" i="6"/>
  <c r="K114" i="6"/>
  <c r="S117" i="6"/>
  <c r="W120" i="6"/>
  <c r="AE114" i="6"/>
  <c r="AA119" i="6"/>
  <c r="AE95" i="6"/>
  <c r="AE88" i="6"/>
  <c r="AE79" i="6"/>
  <c r="AE67" i="6"/>
  <c r="AD51" i="6"/>
  <c r="AD44" i="6"/>
  <c r="AE26" i="6"/>
  <c r="AD18" i="6"/>
  <c r="CT108" i="2"/>
  <c r="CT107" i="2"/>
  <c r="CT106" i="2"/>
  <c r="CT105" i="2"/>
  <c r="CT104" i="2"/>
  <c r="CT82" i="2"/>
  <c r="CR97" i="2" s="1"/>
  <c r="CT75" i="2"/>
  <c r="CR96" i="2" s="1"/>
  <c r="CT63" i="2"/>
  <c r="CR95" i="2" s="1"/>
  <c r="CT59" i="2"/>
  <c r="CR94" i="2" s="1"/>
  <c r="CT45" i="2"/>
  <c r="CR93" i="2" s="1"/>
  <c r="CT32" i="2"/>
  <c r="CT29" i="2"/>
  <c r="CT23" i="2"/>
  <c r="CT20" i="2"/>
  <c r="CR88" i="2" s="1"/>
  <c r="CT11" i="2"/>
  <c r="CR87" i="2" s="1"/>
  <c r="CT7" i="2"/>
  <c r="CR86" i="2" s="1"/>
  <c r="AA97" i="6"/>
  <c r="AA90" i="6"/>
  <c r="AA79" i="6"/>
  <c r="AA67" i="6"/>
  <c r="Z51" i="6"/>
  <c r="Z44" i="6"/>
  <c r="AA26" i="6"/>
  <c r="Z18" i="6"/>
  <c r="D15" i="4"/>
  <c r="D16" i="4"/>
  <c r="D17" i="4"/>
  <c r="D21" i="4"/>
  <c r="EA106" i="2" l="1"/>
  <c r="EC106" i="2" s="1"/>
  <c r="EE106" i="2" s="1"/>
  <c r="EA115" i="2"/>
  <c r="EC115" i="2" s="1"/>
  <c r="EE115" i="2" s="1"/>
  <c r="DT119" i="2"/>
  <c r="DT120" i="2" s="1"/>
  <c r="DV120" i="2" s="1"/>
  <c r="DX120" i="2" s="1"/>
  <c r="DT123" i="2"/>
  <c r="DT129" i="2" s="1"/>
  <c r="DV129" i="2" s="1"/>
  <c r="DX129" i="2" s="1"/>
  <c r="DX146" i="2"/>
  <c r="DQ126" i="2"/>
  <c r="DM106" i="2"/>
  <c r="DM108" i="2" s="1"/>
  <c r="DO108" i="2" s="1"/>
  <c r="DQ108" i="2" s="1"/>
  <c r="DM117" i="2"/>
  <c r="DO117" i="2" s="1"/>
  <c r="DQ117" i="2" s="1"/>
  <c r="DH127" i="2"/>
  <c r="CY111" i="2"/>
  <c r="DA111" i="2" s="1"/>
  <c r="DC111" i="2" s="1"/>
  <c r="DB122" i="2"/>
  <c r="DF104" i="2"/>
  <c r="DF105" i="2" s="1"/>
  <c r="DH105" i="2" s="1"/>
  <c r="DJ105" i="2" s="1"/>
  <c r="DF114" i="2"/>
  <c r="DH114" i="2" s="1"/>
  <c r="DJ114" i="2" s="1"/>
  <c r="CY102" i="2"/>
  <c r="DA102" i="2" s="1"/>
  <c r="DC102" i="2" s="1"/>
  <c r="CR89" i="2"/>
  <c r="CR90" i="2" s="1"/>
  <c r="CT90" i="2" s="1"/>
  <c r="CV90" i="2" s="1"/>
  <c r="CR98" i="2"/>
  <c r="CT98" i="2" s="1"/>
  <c r="CV98" i="2" s="1"/>
  <c r="CT109" i="2"/>
  <c r="B15" i="4"/>
  <c r="B16" i="4"/>
  <c r="B17" i="4"/>
  <c r="B21" i="4"/>
  <c r="B14" i="4"/>
  <c r="CM33" i="2"/>
  <c r="CK81" i="2" s="1"/>
  <c r="W26" i="6"/>
  <c r="CM93" i="2"/>
  <c r="CM94" i="2"/>
  <c r="CM95" i="2"/>
  <c r="CM96" i="2"/>
  <c r="CM92" i="2"/>
  <c r="CK85" i="2"/>
  <c r="CK84" i="2"/>
  <c r="CK83" i="2"/>
  <c r="CK82" i="2"/>
  <c r="CK77" i="2"/>
  <c r="CK76" i="2"/>
  <c r="CK75" i="2"/>
  <c r="CK74" i="2"/>
  <c r="CD99" i="2"/>
  <c r="CD98" i="2"/>
  <c r="CD97" i="2"/>
  <c r="CD96" i="2"/>
  <c r="CD95" i="2"/>
  <c r="CD91" i="2"/>
  <c r="CD90" i="2"/>
  <c r="CD89" i="2"/>
  <c r="CD88" i="2"/>
  <c r="W98" i="6"/>
  <c r="W91" i="6"/>
  <c r="W80" i="6"/>
  <c r="W67" i="6"/>
  <c r="V51" i="6"/>
  <c r="V44" i="6"/>
  <c r="V18" i="6"/>
  <c r="S96" i="6"/>
  <c r="S89" i="6"/>
  <c r="S80" i="6"/>
  <c r="S67" i="6"/>
  <c r="R51" i="6"/>
  <c r="R44" i="6"/>
  <c r="S26" i="6"/>
  <c r="R18" i="6"/>
  <c r="D9" i="4"/>
  <c r="E9" i="4" s="1"/>
  <c r="BY100" i="2"/>
  <c r="BY99" i="2"/>
  <c r="BY98" i="2"/>
  <c r="BY97" i="2"/>
  <c r="BY96" i="2"/>
  <c r="BY40" i="2"/>
  <c r="BW85" i="2" s="1"/>
  <c r="BY56" i="2"/>
  <c r="BW86" i="2" s="1"/>
  <c r="BY13" i="2"/>
  <c r="BW79" i="2" s="1"/>
  <c r="BY7" i="2"/>
  <c r="BW78" i="2" s="1"/>
  <c r="BY73" i="2"/>
  <c r="BW89" i="2" s="1"/>
  <c r="BY70" i="2"/>
  <c r="BW88" i="2" s="1"/>
  <c r="BY59" i="2"/>
  <c r="BW87" i="2" s="1"/>
  <c r="BY29" i="2"/>
  <c r="BY23" i="2"/>
  <c r="BY20" i="2"/>
  <c r="BW80" i="2" s="1"/>
  <c r="EE136" i="2" l="1"/>
  <c r="AT9" i="6" s="1"/>
  <c r="AT56" i="6" s="1"/>
  <c r="AU62" i="6" s="1"/>
  <c r="AU98" i="6" s="1"/>
  <c r="AU120" i="6" s="1"/>
  <c r="DX148" i="2"/>
  <c r="AP9" i="6" s="1"/>
  <c r="AP56" i="6" s="1"/>
  <c r="DQ128" i="2"/>
  <c r="AL9" i="6" s="1"/>
  <c r="AL56" i="6" s="1"/>
  <c r="AM62" i="6" s="1"/>
  <c r="AM98" i="6" s="1"/>
  <c r="AM121" i="6" s="1"/>
  <c r="DJ128" i="2"/>
  <c r="AH9" i="6" s="1"/>
  <c r="DC123" i="2"/>
  <c r="AD9" i="6" s="1"/>
  <c r="BW81" i="2"/>
  <c r="BW82" i="2" s="1"/>
  <c r="BY82" i="2" s="1"/>
  <c r="CA82" i="2" s="1"/>
  <c r="CD100" i="2"/>
  <c r="CF100" i="2" s="1"/>
  <c r="CH100" i="2" s="1"/>
  <c r="CK86" i="2"/>
  <c r="CM97" i="2"/>
  <c r="CV110" i="2"/>
  <c r="Z9" i="6" s="1"/>
  <c r="CK78" i="2"/>
  <c r="CM78" i="2" s="1"/>
  <c r="CO78" i="2" s="1"/>
  <c r="CD92" i="2"/>
  <c r="CF92" i="2" s="1"/>
  <c r="CH92" i="2" s="1"/>
  <c r="BW90" i="2"/>
  <c r="BY90" i="2" s="1"/>
  <c r="CA90" i="2" s="1"/>
  <c r="BY101" i="2"/>
  <c r="O115" i="6"/>
  <c r="O96" i="6"/>
  <c r="O89" i="6"/>
  <c r="O80" i="6"/>
  <c r="O67" i="6"/>
  <c r="N51" i="6"/>
  <c r="N44" i="6"/>
  <c r="O26" i="6"/>
  <c r="N18" i="6"/>
  <c r="O4" i="6"/>
  <c r="O8" i="6" s="1"/>
  <c r="K95" i="6"/>
  <c r="K88" i="6"/>
  <c r="K79" i="6"/>
  <c r="K67" i="6"/>
  <c r="J56" i="6"/>
  <c r="K62" i="6" s="1"/>
  <c r="J51" i="6"/>
  <c r="J44" i="6"/>
  <c r="K26" i="6"/>
  <c r="J18" i="6"/>
  <c r="K4" i="6"/>
  <c r="K8" i="6" s="1"/>
  <c r="K10" i="6" s="1"/>
  <c r="F56" i="6"/>
  <c r="G62" i="6" s="1"/>
  <c r="G4" i="6"/>
  <c r="G8" i="6" s="1"/>
  <c r="C119" i="6"/>
  <c r="G95" i="6"/>
  <c r="G88" i="6"/>
  <c r="G79" i="6"/>
  <c r="G67" i="6"/>
  <c r="F51" i="6"/>
  <c r="F44" i="6"/>
  <c r="G26" i="6"/>
  <c r="F18" i="6"/>
  <c r="C95" i="6"/>
  <c r="C88" i="6"/>
  <c r="C79" i="6"/>
  <c r="C67" i="6"/>
  <c r="B51" i="6"/>
  <c r="B44" i="6"/>
  <c r="C26" i="6"/>
  <c r="B18" i="6"/>
  <c r="C62" i="6"/>
  <c r="AY88" i="3"/>
  <c r="AQ62" i="6" l="1"/>
  <c r="AQ98" i="6" s="1"/>
  <c r="AQ122" i="6" s="1"/>
  <c r="AU4" i="6"/>
  <c r="AU8" i="6" s="1"/>
  <c r="AU10" i="6" s="1"/>
  <c r="AU19" i="6" s="1"/>
  <c r="AT27" i="6" s="1"/>
  <c r="AT29" i="6" s="1"/>
  <c r="AU30" i="6" s="1"/>
  <c r="AU45" i="6" s="1"/>
  <c r="AU52" i="6" s="1"/>
  <c r="AQ4" i="6"/>
  <c r="AQ8" i="6" s="1"/>
  <c r="AQ10" i="6" s="1"/>
  <c r="AQ19" i="6" s="1"/>
  <c r="AP27" i="6" s="1"/>
  <c r="AP29" i="6" s="1"/>
  <c r="AQ30" i="6" s="1"/>
  <c r="AQ45" i="6" s="1"/>
  <c r="AQ52" i="6" s="1"/>
  <c r="AH56" i="6"/>
  <c r="AI62" i="6" s="1"/>
  <c r="AI96" i="6" s="1"/>
  <c r="AI119" i="6" s="1"/>
  <c r="AM4" i="6"/>
  <c r="AM8" i="6" s="1"/>
  <c r="AM10" i="6" s="1"/>
  <c r="AM19" i="6" s="1"/>
  <c r="AL27" i="6" s="1"/>
  <c r="AL29" i="6" s="1"/>
  <c r="AM30" i="6" s="1"/>
  <c r="AM45" i="6" s="1"/>
  <c r="AM52" i="6" s="1"/>
  <c r="AI4" i="6"/>
  <c r="AI8" i="6" s="1"/>
  <c r="AI10" i="6" s="1"/>
  <c r="AI19" i="6" s="1"/>
  <c r="AH27" i="6" s="1"/>
  <c r="AH29" i="6" s="1"/>
  <c r="AI30" i="6" s="1"/>
  <c r="AI45" i="6" s="1"/>
  <c r="AI52" i="6" s="1"/>
  <c r="AD56" i="6"/>
  <c r="AE62" i="6" s="1"/>
  <c r="AE96" i="6" s="1"/>
  <c r="AE115" i="6" s="1"/>
  <c r="Z56" i="6"/>
  <c r="AA62" i="6" s="1"/>
  <c r="AA98" i="6" s="1"/>
  <c r="AA120" i="6" s="1"/>
  <c r="AE4" i="6"/>
  <c r="AE8" i="6" s="1"/>
  <c r="AE10" i="6" s="1"/>
  <c r="AE19" i="6" s="1"/>
  <c r="AD27" i="6" s="1"/>
  <c r="AD29" i="6" s="1"/>
  <c r="AE30" i="6" s="1"/>
  <c r="AE45" i="6" s="1"/>
  <c r="AE52" i="6" s="1"/>
  <c r="CH103" i="2"/>
  <c r="R9" i="6" s="1"/>
  <c r="R56" i="6" s="1"/>
  <c r="S62" i="6" s="1"/>
  <c r="S97" i="6" s="1"/>
  <c r="S118" i="6" s="1"/>
  <c r="CM86" i="2"/>
  <c r="CO86" i="2" s="1"/>
  <c r="CO98" i="2" s="1"/>
  <c r="CA92" i="2"/>
  <c r="CA102" i="2" s="1"/>
  <c r="N9" i="6" s="1"/>
  <c r="K96" i="6"/>
  <c r="K115" i="6" s="1"/>
  <c r="K19" i="6"/>
  <c r="J27" i="6" s="1"/>
  <c r="J29" i="6" s="1"/>
  <c r="K30" i="6" s="1"/>
  <c r="K45" i="6" s="1"/>
  <c r="K52" i="6" s="1"/>
  <c r="G96" i="6"/>
  <c r="G115" i="6" s="1"/>
  <c r="C96" i="6"/>
  <c r="C120" i="6" s="1"/>
  <c r="G10" i="6"/>
  <c r="G19" i="6" s="1"/>
  <c r="F27" i="6" s="1"/>
  <c r="F29" i="6" s="1"/>
  <c r="G30" i="6" s="1"/>
  <c r="G45" i="6" s="1"/>
  <c r="G52" i="6" s="1"/>
  <c r="AY113" i="3"/>
  <c r="AY95" i="3"/>
  <c r="AY79" i="3"/>
  <c r="AY66" i="3"/>
  <c r="AX50" i="3"/>
  <c r="AX43" i="3"/>
  <c r="AY25" i="3"/>
  <c r="AX17" i="3"/>
  <c r="BR33" i="2"/>
  <c r="BP90" i="2" s="1"/>
  <c r="BR40" i="2"/>
  <c r="BP94" i="2" s="1"/>
  <c r="BR60" i="2"/>
  <c r="BP95" i="2" s="1"/>
  <c r="BR66" i="2"/>
  <c r="BP96" i="2" s="1"/>
  <c r="BR78" i="2"/>
  <c r="BP97" i="2" s="1"/>
  <c r="BR82" i="2"/>
  <c r="BP98" i="2" s="1"/>
  <c r="BR110" i="2"/>
  <c r="BR109" i="2"/>
  <c r="BR108" i="2"/>
  <c r="BR107" i="2"/>
  <c r="BR106" i="2"/>
  <c r="BR26" i="2"/>
  <c r="BP89" i="2" s="1"/>
  <c r="BR17" i="2"/>
  <c r="BP88" i="2" s="1"/>
  <c r="BR8" i="2"/>
  <c r="BP87" i="2" s="1"/>
  <c r="AT90" i="3"/>
  <c r="AT97" i="3"/>
  <c r="AT117" i="3"/>
  <c r="BI100" i="2"/>
  <c r="BK64" i="2"/>
  <c r="BI97" i="2" s="1"/>
  <c r="BK41" i="2"/>
  <c r="BI96" i="2" s="1"/>
  <c r="BK34" i="2"/>
  <c r="BI92" i="2" s="1"/>
  <c r="BK27" i="2"/>
  <c r="BI91" i="2" s="1"/>
  <c r="BK18" i="2"/>
  <c r="BI90" i="2" s="1"/>
  <c r="BK8" i="2"/>
  <c r="BI89" i="2" s="1"/>
  <c r="BK69" i="2"/>
  <c r="BI98" i="2" s="1"/>
  <c r="BK81" i="2"/>
  <c r="BI99" i="2" s="1"/>
  <c r="BK108" i="2"/>
  <c r="BK109" i="2"/>
  <c r="BK110" i="2"/>
  <c r="BK111" i="2"/>
  <c r="BK112" i="2"/>
  <c r="AT80" i="3"/>
  <c r="AT66" i="3"/>
  <c r="AS50" i="3"/>
  <c r="AS43" i="3"/>
  <c r="AT25" i="3"/>
  <c r="AS17" i="3"/>
  <c r="BD23" i="2"/>
  <c r="BB112" i="2" s="1"/>
  <c r="BD35" i="2"/>
  <c r="BB113" i="2" s="1"/>
  <c r="BD44" i="2"/>
  <c r="BB114" i="2" s="1"/>
  <c r="BD51" i="2"/>
  <c r="BB118" i="2" s="1"/>
  <c r="BD81" i="2"/>
  <c r="BB119" i="2" s="1"/>
  <c r="BB122" i="2"/>
  <c r="BD134" i="2"/>
  <c r="BD133" i="2"/>
  <c r="BD132" i="2"/>
  <c r="BD131" i="2"/>
  <c r="BD130" i="2"/>
  <c r="Q13" i="4"/>
  <c r="O13" i="4"/>
  <c r="M13" i="4"/>
  <c r="K13" i="4"/>
  <c r="Q9" i="4"/>
  <c r="O9" i="4"/>
  <c r="M9" i="4"/>
  <c r="K9" i="4"/>
  <c r="Q8" i="4"/>
  <c r="O8" i="4"/>
  <c r="M8" i="4"/>
  <c r="K8" i="4"/>
  <c r="AO112" i="3"/>
  <c r="AO93" i="3"/>
  <c r="AO86" i="3"/>
  <c r="AO78" i="3"/>
  <c r="AO66" i="3"/>
  <c r="AN50" i="3"/>
  <c r="AN43" i="3"/>
  <c r="AO25" i="3"/>
  <c r="AN17" i="3"/>
  <c r="BD103" i="2"/>
  <c r="BB121" i="2" s="1"/>
  <c r="BD88" i="2"/>
  <c r="BB120" i="2" s="1"/>
  <c r="BD10" i="2"/>
  <c r="BB111" i="2" s="1"/>
  <c r="AU128" i="2"/>
  <c r="AW140" i="2"/>
  <c r="AW139" i="2"/>
  <c r="AW138" i="2"/>
  <c r="AW137" i="2"/>
  <c r="AW136" i="2"/>
  <c r="AW104" i="2"/>
  <c r="AU127" i="2" s="1"/>
  <c r="AW88" i="2"/>
  <c r="AU126" i="2" s="1"/>
  <c r="AW81" i="2"/>
  <c r="AU125" i="2" s="1"/>
  <c r="AW56" i="2"/>
  <c r="AU124" i="2" s="1"/>
  <c r="AW49" i="2"/>
  <c r="AU120" i="2" s="1"/>
  <c r="AW40" i="2"/>
  <c r="AU119" i="2" s="1"/>
  <c r="AW25" i="2"/>
  <c r="AU118" i="2" s="1"/>
  <c r="AW10" i="2"/>
  <c r="AU117" i="2" s="1"/>
  <c r="AP143" i="2"/>
  <c r="AP142" i="2"/>
  <c r="AP141" i="2"/>
  <c r="AP140" i="2"/>
  <c r="AP139" i="2"/>
  <c r="AN131" i="2"/>
  <c r="AP107" i="2"/>
  <c r="AN130" i="2" s="1"/>
  <c r="AP89" i="2"/>
  <c r="AN129" i="2" s="1"/>
  <c r="AP82" i="2"/>
  <c r="AN128" i="2" s="1"/>
  <c r="AP53" i="2"/>
  <c r="AN127" i="2" s="1"/>
  <c r="AP43" i="2"/>
  <c r="AN123" i="2" s="1"/>
  <c r="AP33" i="2"/>
  <c r="AN122" i="2" s="1"/>
  <c r="AP24" i="2"/>
  <c r="AN121" i="2" s="1"/>
  <c r="AP10" i="2"/>
  <c r="AN120" i="2" s="1"/>
  <c r="AJ114" i="3"/>
  <c r="AJ95" i="3"/>
  <c r="AJ88" i="3"/>
  <c r="AJ79" i="3"/>
  <c r="AJ66" i="3"/>
  <c r="AI50" i="3"/>
  <c r="AI43" i="3"/>
  <c r="AJ25" i="3"/>
  <c r="AI17" i="3"/>
  <c r="D5" i="4"/>
  <c r="E5" i="4" s="1"/>
  <c r="D8" i="4"/>
  <c r="E8" i="4" s="1"/>
  <c r="D11" i="4"/>
  <c r="E11" i="4" s="1"/>
  <c r="AE119" i="3"/>
  <c r="AE95" i="3"/>
  <c r="AE88" i="3"/>
  <c r="AE79" i="3"/>
  <c r="AE66" i="3"/>
  <c r="AD50" i="3"/>
  <c r="AD43" i="3"/>
  <c r="AE25" i="3"/>
  <c r="AD17" i="3"/>
  <c r="AA114" i="3"/>
  <c r="AA95" i="3"/>
  <c r="AA88" i="3"/>
  <c r="AA79" i="3"/>
  <c r="AA66" i="3"/>
  <c r="Z50" i="3"/>
  <c r="Z43" i="3"/>
  <c r="AA25" i="3"/>
  <c r="Z17" i="3"/>
  <c r="AI132" i="2"/>
  <c r="AI50" i="2"/>
  <c r="AG117" i="2" s="1"/>
  <c r="AI133" i="2"/>
  <c r="AI131" i="2"/>
  <c r="AI130" i="2"/>
  <c r="AI129" i="2"/>
  <c r="AG113" i="2"/>
  <c r="AI103" i="2"/>
  <c r="AG121" i="2" s="1"/>
  <c r="AI98" i="2"/>
  <c r="AG120" i="2" s="1"/>
  <c r="AI86" i="2"/>
  <c r="AG119" i="2" s="1"/>
  <c r="AI79" i="2"/>
  <c r="AG118" i="2" s="1"/>
  <c r="AI35" i="2"/>
  <c r="AG112" i="2" s="1"/>
  <c r="AI24" i="2"/>
  <c r="AG111" i="2" s="1"/>
  <c r="AI10" i="2"/>
  <c r="AG110" i="2" s="1"/>
  <c r="K112" i="2"/>
  <c r="I128" i="2" s="1"/>
  <c r="K96" i="2"/>
  <c r="I127" i="2" s="1"/>
  <c r="K90" i="2"/>
  <c r="I126" i="2" s="1"/>
  <c r="K53" i="2"/>
  <c r="I125" i="2" s="1"/>
  <c r="K46" i="2"/>
  <c r="I121" i="2" s="1"/>
  <c r="K38" i="2"/>
  <c r="I120" i="2" s="1"/>
  <c r="K28" i="2"/>
  <c r="I119" i="2" s="1"/>
  <c r="K10" i="2"/>
  <c r="I118" i="2" s="1"/>
  <c r="E21" i="4"/>
  <c r="E15" i="4"/>
  <c r="E17" i="4"/>
  <c r="E16" i="4"/>
  <c r="D10" i="4"/>
  <c r="E10" i="4" s="1"/>
  <c r="D6" i="4"/>
  <c r="E6" i="4" s="1"/>
  <c r="D4" i="4"/>
  <c r="E4" i="4" s="1"/>
  <c r="D3" i="4"/>
  <c r="AA143" i="2"/>
  <c r="S142" i="2"/>
  <c r="AA142" i="2"/>
  <c r="S141" i="2"/>
  <c r="AA141" i="2"/>
  <c r="S140" i="2"/>
  <c r="AA140" i="2"/>
  <c r="S139" i="2"/>
  <c r="Y124" i="2"/>
  <c r="Q123" i="2"/>
  <c r="AA114" i="2"/>
  <c r="Y132" i="2" s="1"/>
  <c r="S113" i="2"/>
  <c r="Q131" i="2" s="1"/>
  <c r="AA110" i="2"/>
  <c r="Y131" i="2" s="1"/>
  <c r="S109" i="2"/>
  <c r="Q130" i="2" s="1"/>
  <c r="AA92" i="2"/>
  <c r="Y130" i="2" s="1"/>
  <c r="S90" i="2"/>
  <c r="Q129" i="2" s="1"/>
  <c r="AA83" i="2"/>
  <c r="Y129" i="2" s="1"/>
  <c r="S82" i="2"/>
  <c r="Q128" i="2" s="1"/>
  <c r="AA48" i="2"/>
  <c r="Y128" i="2" s="1"/>
  <c r="S45" i="2"/>
  <c r="Q127" i="2" s="1"/>
  <c r="AA34" i="2"/>
  <c r="Y123" i="2" s="1"/>
  <c r="S32" i="2"/>
  <c r="Q122" i="2" s="1"/>
  <c r="AA24" i="2"/>
  <c r="Y122" i="2" s="1"/>
  <c r="S22" i="2"/>
  <c r="Q121" i="2" s="1"/>
  <c r="AA10" i="2"/>
  <c r="Y121" i="2" s="1"/>
  <c r="S10" i="2"/>
  <c r="Q120" i="2" s="1"/>
  <c r="W111" i="3"/>
  <c r="W94" i="3"/>
  <c r="W87" i="3"/>
  <c r="W79" i="3"/>
  <c r="W66" i="3"/>
  <c r="V50" i="3"/>
  <c r="V43" i="3"/>
  <c r="W25" i="3"/>
  <c r="V17" i="3"/>
  <c r="S113" i="3"/>
  <c r="S93" i="3"/>
  <c r="S86" i="3"/>
  <c r="S78" i="3"/>
  <c r="S66" i="3"/>
  <c r="R50" i="3"/>
  <c r="R43" i="3"/>
  <c r="S25" i="3"/>
  <c r="R17" i="3"/>
  <c r="S4" i="3"/>
  <c r="S7" i="3" s="1"/>
  <c r="O113" i="3"/>
  <c r="O93" i="3"/>
  <c r="O86" i="3"/>
  <c r="O78" i="3"/>
  <c r="O66" i="3"/>
  <c r="N55" i="3"/>
  <c r="O61" i="3" s="1"/>
  <c r="N50" i="3"/>
  <c r="N43" i="3"/>
  <c r="O25" i="3"/>
  <c r="N17" i="3"/>
  <c r="O4" i="3"/>
  <c r="O7" i="3" s="1"/>
  <c r="O9" i="3" s="1"/>
  <c r="M11" i="4" l="1"/>
  <c r="M14" i="4" s="1"/>
  <c r="O11" i="4"/>
  <c r="O14" i="4" s="1"/>
  <c r="Q11" i="4"/>
  <c r="Q14" i="4" s="1"/>
  <c r="E3" i="4"/>
  <c r="D7" i="4"/>
  <c r="K11" i="4"/>
  <c r="K14" i="4" s="1"/>
  <c r="W4" i="6"/>
  <c r="W8" i="6" s="1"/>
  <c r="V9" i="6"/>
  <c r="S4" i="6"/>
  <c r="S8" i="6" s="1"/>
  <c r="S10" i="6" s="1"/>
  <c r="S19" i="6" s="1"/>
  <c r="R27" i="6" s="1"/>
  <c r="R29" i="6" s="1"/>
  <c r="S30" i="6" s="1"/>
  <c r="S45" i="6" s="1"/>
  <c r="S52" i="6" s="1"/>
  <c r="N56" i="6"/>
  <c r="O62" i="6" s="1"/>
  <c r="O97" i="6" s="1"/>
  <c r="O116" i="6" s="1"/>
  <c r="O10" i="6"/>
  <c r="O19" i="6" s="1"/>
  <c r="N27" i="6" s="1"/>
  <c r="N29" i="6" s="1"/>
  <c r="O30" i="6" s="1"/>
  <c r="O45" i="6" s="1"/>
  <c r="O52" i="6" s="1"/>
  <c r="BI93" i="2"/>
  <c r="BK93" i="2" s="1"/>
  <c r="BM93" i="2" s="1"/>
  <c r="BI101" i="2"/>
  <c r="BK101" i="2" s="1"/>
  <c r="BM101" i="2" s="1"/>
  <c r="BR111" i="2"/>
  <c r="BP99" i="2"/>
  <c r="BR99" i="2" s="1"/>
  <c r="BT99" i="2" s="1"/>
  <c r="BP91" i="2"/>
  <c r="BR91" i="2" s="1"/>
  <c r="BT91" i="2" s="1"/>
  <c r="BK113" i="2"/>
  <c r="BB123" i="2"/>
  <c r="BD123" i="2" s="1"/>
  <c r="BF123" i="2" s="1"/>
  <c r="BB115" i="2"/>
  <c r="BD115" i="2" s="1"/>
  <c r="BF115" i="2" s="1"/>
  <c r="BD135" i="2"/>
  <c r="AU121" i="2"/>
  <c r="AW121" i="2" s="1"/>
  <c r="AY121" i="2" s="1"/>
  <c r="AU129" i="2"/>
  <c r="AW129" i="2" s="1"/>
  <c r="AY129" i="2" s="1"/>
  <c r="AW141" i="2"/>
  <c r="AP144" i="2"/>
  <c r="AN124" i="2"/>
  <c r="AP124" i="2" s="1"/>
  <c r="AR124" i="2" s="1"/>
  <c r="AN132" i="2"/>
  <c r="AP132" i="2" s="1"/>
  <c r="AR132" i="2" s="1"/>
  <c r="AI134" i="2"/>
  <c r="AG114" i="2"/>
  <c r="AI114" i="2" s="1"/>
  <c r="AK114" i="2" s="1"/>
  <c r="AG122" i="2"/>
  <c r="AI122" i="2" s="1"/>
  <c r="AK122" i="2" s="1"/>
  <c r="I130" i="2"/>
  <c r="K130" i="2" s="1"/>
  <c r="M130" i="2" s="1"/>
  <c r="I122" i="2"/>
  <c r="K122" i="2" s="1"/>
  <c r="M122" i="2" s="1"/>
  <c r="AA144" i="2"/>
  <c r="S143" i="2"/>
  <c r="Q124" i="2"/>
  <c r="S124" i="2" s="1"/>
  <c r="U124" i="2" s="1"/>
  <c r="Y125" i="2"/>
  <c r="AA125" i="2" s="1"/>
  <c r="AC125" i="2" s="1"/>
  <c r="Q132" i="2"/>
  <c r="S132" i="2" s="1"/>
  <c r="U132" i="2" s="1"/>
  <c r="Y133" i="2"/>
  <c r="AA133" i="2" s="1"/>
  <c r="AC133" i="2" s="1"/>
  <c r="O94" i="3"/>
  <c r="O114" i="3" s="1"/>
  <c r="O18" i="3"/>
  <c r="N26" i="3" s="1"/>
  <c r="N28" i="3" s="1"/>
  <c r="O29" i="3" s="1"/>
  <c r="O44" i="3" s="1"/>
  <c r="O51" i="3" s="1"/>
  <c r="K112" i="3"/>
  <c r="K93" i="3"/>
  <c r="K86" i="3"/>
  <c r="K78" i="3"/>
  <c r="K66" i="3"/>
  <c r="J55" i="3"/>
  <c r="K61" i="3" s="1"/>
  <c r="J50" i="3"/>
  <c r="J43" i="3"/>
  <c r="K25" i="3"/>
  <c r="J17" i="3"/>
  <c r="K4" i="3"/>
  <c r="K7" i="3" s="1"/>
  <c r="K9" i="3" s="1"/>
  <c r="G112" i="3"/>
  <c r="G4" i="3"/>
  <c r="G7" i="3" s="1"/>
  <c r="G9" i="3" s="1"/>
  <c r="G93" i="3"/>
  <c r="G86" i="3"/>
  <c r="G77" i="3"/>
  <c r="G66" i="3"/>
  <c r="F55" i="3"/>
  <c r="G61" i="3" s="1"/>
  <c r="F50" i="3"/>
  <c r="F43" i="3"/>
  <c r="G25" i="3"/>
  <c r="F17" i="3"/>
  <c r="C89" i="3"/>
  <c r="C4" i="3"/>
  <c r="C7" i="3" s="1"/>
  <c r="C9" i="3" s="1"/>
  <c r="C114" i="3"/>
  <c r="C96" i="3"/>
  <c r="C78" i="3"/>
  <c r="C66" i="3"/>
  <c r="B55" i="3"/>
  <c r="C61" i="3" s="1"/>
  <c r="B50" i="3"/>
  <c r="B43" i="3"/>
  <c r="C25" i="3"/>
  <c r="B17" i="3"/>
  <c r="E7" i="4" l="1"/>
  <c r="V56" i="6"/>
  <c r="W62" i="6" s="1"/>
  <c r="W99" i="6" s="1"/>
  <c r="W121" i="6" s="1"/>
  <c r="AA4" i="6"/>
  <c r="AA8" i="6" s="1"/>
  <c r="AA10" i="6" s="1"/>
  <c r="AA19" i="6" s="1"/>
  <c r="Z27" i="6" s="1"/>
  <c r="Z29" i="6" s="1"/>
  <c r="AA30" i="6" s="1"/>
  <c r="AA45" i="6" s="1"/>
  <c r="AA52" i="6" s="1"/>
  <c r="W10" i="6"/>
  <c r="W19" i="6" s="1"/>
  <c r="V27" i="6" s="1"/>
  <c r="V29" i="6" s="1"/>
  <c r="W30" i="6" s="1"/>
  <c r="W45" i="6" s="1"/>
  <c r="W52" i="6" s="1"/>
  <c r="BT101" i="2"/>
  <c r="BT112" i="2" s="1"/>
  <c r="AX8" i="3" s="1"/>
  <c r="BM103" i="2"/>
  <c r="BM114" i="2" s="1"/>
  <c r="AS8" i="3" s="1"/>
  <c r="AY3" i="3" s="1"/>
  <c r="AY7" i="3" s="1"/>
  <c r="BF125" i="2"/>
  <c r="BF136" i="2" s="1"/>
  <c r="AN8" i="3" s="1"/>
  <c r="AY131" i="2"/>
  <c r="AY142" i="2" s="1"/>
  <c r="AI8" i="3" s="1"/>
  <c r="AR134" i="2"/>
  <c r="AR145" i="2" s="1"/>
  <c r="AD8" i="3" s="1"/>
  <c r="AK124" i="2"/>
  <c r="AK135" i="2" s="1"/>
  <c r="Z8" i="3" s="1"/>
  <c r="AE4" i="3" s="1"/>
  <c r="AE7" i="3" s="1"/>
  <c r="M131" i="2"/>
  <c r="AC135" i="2"/>
  <c r="AC145" i="2" s="1"/>
  <c r="U134" i="2"/>
  <c r="U144" i="2" s="1"/>
  <c r="R8" i="3" s="1"/>
  <c r="R55" i="3" s="1"/>
  <c r="S61" i="3" s="1"/>
  <c r="S94" i="3" s="1"/>
  <c r="S114" i="3" s="1"/>
  <c r="K94" i="3"/>
  <c r="K113" i="3" s="1"/>
  <c r="K18" i="3"/>
  <c r="J26" i="3" s="1"/>
  <c r="J28" i="3" s="1"/>
  <c r="K29" i="3" s="1"/>
  <c r="K44" i="3" s="1"/>
  <c r="K51" i="3" s="1"/>
  <c r="G18" i="3"/>
  <c r="F26" i="3" s="1"/>
  <c r="F28" i="3" s="1"/>
  <c r="G29" i="3" s="1"/>
  <c r="G44" i="3" s="1"/>
  <c r="G51" i="3" s="1"/>
  <c r="G94" i="3"/>
  <c r="G113" i="3" s="1"/>
  <c r="C97" i="3"/>
  <c r="C115" i="3" s="1"/>
  <c r="C18" i="3"/>
  <c r="B26" i="3" s="1"/>
  <c r="B28" i="3" s="1"/>
  <c r="C29" i="3" s="1"/>
  <c r="C44" i="3" s="1"/>
  <c r="C51" i="3" s="1"/>
  <c r="AX55" i="3" l="1"/>
  <c r="AY61" i="3" s="1"/>
  <c r="AY96" i="3" s="1"/>
  <c r="AY114" i="3" s="1"/>
  <c r="C4" i="6"/>
  <c r="C8" i="6" s="1"/>
  <c r="C10" i="6" s="1"/>
  <c r="C19" i="6" s="1"/>
  <c r="B27" i="6" s="1"/>
  <c r="B29" i="6" s="1"/>
  <c r="C30" i="6" s="1"/>
  <c r="C45" i="6" s="1"/>
  <c r="C52" i="6" s="1"/>
  <c r="AS55" i="3"/>
  <c r="AT61" i="3" s="1"/>
  <c r="AT98" i="3" s="1"/>
  <c r="AT118" i="3" s="1"/>
  <c r="AY9" i="3"/>
  <c r="AY18" i="3" s="1"/>
  <c r="AX26" i="3" s="1"/>
  <c r="AX28" i="3" s="1"/>
  <c r="AY29" i="3" s="1"/>
  <c r="AY44" i="3" s="1"/>
  <c r="AY51" i="3" s="1"/>
  <c r="AN55" i="3"/>
  <c r="AO61" i="3" s="1"/>
  <c r="AO94" i="3" s="1"/>
  <c r="AO113" i="3" s="1"/>
  <c r="AT4" i="3"/>
  <c r="AT7" i="3" s="1"/>
  <c r="AT9" i="3" s="1"/>
  <c r="AT18" i="3" s="1"/>
  <c r="AS26" i="3" s="1"/>
  <c r="AS28" i="3" s="1"/>
  <c r="AT29" i="3" s="1"/>
  <c r="AT44" i="3" s="1"/>
  <c r="AT51" i="3" s="1"/>
  <c r="AI55" i="3"/>
  <c r="AJ61" i="3" s="1"/>
  <c r="AJ96" i="3" s="1"/>
  <c r="AJ115" i="3" s="1"/>
  <c r="AO4" i="3"/>
  <c r="AO7" i="3" s="1"/>
  <c r="AO9" i="3" s="1"/>
  <c r="AO18" i="3" s="1"/>
  <c r="AN26" i="3" s="1"/>
  <c r="AN28" i="3" s="1"/>
  <c r="AO29" i="3" s="1"/>
  <c r="AO44" i="3" s="1"/>
  <c r="AO51" i="3" s="1"/>
  <c r="AD55" i="3"/>
  <c r="AE61" i="3" s="1"/>
  <c r="AE96" i="3" s="1"/>
  <c r="AE120" i="3" s="1"/>
  <c r="AJ4" i="3"/>
  <c r="AJ7" i="3" s="1"/>
  <c r="AJ9" i="3" s="1"/>
  <c r="AJ18" i="3" s="1"/>
  <c r="AI26" i="3" s="1"/>
  <c r="AI28" i="3" s="1"/>
  <c r="AJ29" i="3" s="1"/>
  <c r="AJ44" i="3" s="1"/>
  <c r="AJ51" i="3" s="1"/>
  <c r="AE9" i="3"/>
  <c r="AE18" i="3" s="1"/>
  <c r="AD26" i="3" s="1"/>
  <c r="AD28" i="3" s="1"/>
  <c r="AE29" i="3" s="1"/>
  <c r="AE44" i="3" s="1"/>
  <c r="AE51" i="3" s="1"/>
  <c r="Z55" i="3"/>
  <c r="AA61" i="3" s="1"/>
  <c r="AA96" i="3" s="1"/>
  <c r="AA115" i="3" s="1"/>
  <c r="V8" i="3"/>
  <c r="W4" i="3"/>
  <c r="W7" i="3" s="1"/>
  <c r="S9" i="3"/>
  <c r="S18" i="3" s="1"/>
  <c r="R26" i="3" s="1"/>
  <c r="R28" i="3" s="1"/>
  <c r="S29" i="3" s="1"/>
  <c r="S44" i="3" s="1"/>
  <c r="AM120" i="1"/>
  <c r="X82" i="1"/>
  <c r="AC84" i="1"/>
  <c r="AH86" i="1"/>
  <c r="AM87" i="1"/>
  <c r="AM103" i="1"/>
  <c r="AM96" i="1"/>
  <c r="AM73" i="1"/>
  <c r="AL62" i="1"/>
  <c r="AM68" i="1" s="1"/>
  <c r="AL53" i="1"/>
  <c r="AL46" i="1"/>
  <c r="AM28" i="1"/>
  <c r="AL16" i="1"/>
  <c r="AM3" i="1"/>
  <c r="AM6" i="1" s="1"/>
  <c r="AM8" i="1" s="1"/>
  <c r="AH120" i="1"/>
  <c r="AH102" i="1"/>
  <c r="AH95" i="1"/>
  <c r="AH73" i="1"/>
  <c r="AG53" i="1"/>
  <c r="AG46" i="1"/>
  <c r="AH28" i="1"/>
  <c r="AG16" i="1"/>
  <c r="AG62" i="1"/>
  <c r="AH68" i="1" s="1"/>
  <c r="AB7" i="1"/>
  <c r="AB62" i="1" s="1"/>
  <c r="AC67" i="1" s="1"/>
  <c r="AC120" i="1"/>
  <c r="AC100" i="1"/>
  <c r="AC93" i="1"/>
  <c r="AC72" i="1"/>
  <c r="AB53" i="1"/>
  <c r="AB46" i="1"/>
  <c r="AC28" i="1"/>
  <c r="AB16" i="1"/>
  <c r="AC3" i="1"/>
  <c r="AC6" i="1" s="1"/>
  <c r="O89" i="1"/>
  <c r="D116" i="2"/>
  <c r="E109" i="2"/>
  <c r="E110" i="2"/>
  <c r="E111" i="2"/>
  <c r="E112" i="2"/>
  <c r="E108" i="2"/>
  <c r="D101" i="2"/>
  <c r="E101" i="2" s="1"/>
  <c r="D90" i="2"/>
  <c r="E90" i="2" s="1"/>
  <c r="E82" i="2"/>
  <c r="C95" i="2" s="1"/>
  <c r="E71" i="2"/>
  <c r="C96" i="2" s="1"/>
  <c r="E61" i="2"/>
  <c r="C98" i="2" s="1"/>
  <c r="E44" i="2"/>
  <c r="C99" i="2" s="1"/>
  <c r="E36" i="2"/>
  <c r="C89" i="2" s="1"/>
  <c r="E33" i="2"/>
  <c r="C88" i="2" s="1"/>
  <c r="E28" i="2"/>
  <c r="C87" i="2" s="1"/>
  <c r="E9" i="2"/>
  <c r="C86" i="2" s="1"/>
  <c r="S51" i="3" l="1"/>
  <c r="V55" i="3"/>
  <c r="W61" i="3" s="1"/>
  <c r="W95" i="3" s="1"/>
  <c r="W112" i="3" s="1"/>
  <c r="AA4" i="3"/>
  <c r="AA7" i="3" s="1"/>
  <c r="AA9" i="3" s="1"/>
  <c r="AA18" i="3" s="1"/>
  <c r="Z26" i="3" s="1"/>
  <c r="Z28" i="3" s="1"/>
  <c r="AA29" i="3" s="1"/>
  <c r="AA44" i="3" s="1"/>
  <c r="AA51" i="3" s="1"/>
  <c r="W9" i="3"/>
  <c r="W18" i="3" s="1"/>
  <c r="V26" i="3" s="1"/>
  <c r="V28" i="3" s="1"/>
  <c r="W29" i="3" s="1"/>
  <c r="W44" i="3" s="1"/>
  <c r="W51" i="3" s="1"/>
  <c r="C101" i="2"/>
  <c r="C102" i="2" s="1"/>
  <c r="F102" i="2" s="1"/>
  <c r="C90" i="2"/>
  <c r="C92" i="2" s="1"/>
  <c r="F92" i="2" s="1"/>
  <c r="E113" i="2"/>
  <c r="AM104" i="1"/>
  <c r="AM121" i="1" s="1"/>
  <c r="AM17" i="1"/>
  <c r="AL29" i="1" s="1"/>
  <c r="AL31" i="1" s="1"/>
  <c r="AM32" i="1" s="1"/>
  <c r="AM47" i="1" s="1"/>
  <c r="AM54" i="1" s="1"/>
  <c r="AH3" i="1"/>
  <c r="AH6" i="1" s="1"/>
  <c r="AH8" i="1" s="1"/>
  <c r="AH17" i="1" s="1"/>
  <c r="AG29" i="1" s="1"/>
  <c r="AG31" i="1" s="1"/>
  <c r="AH32" i="1" s="1"/>
  <c r="AH47" i="1" s="1"/>
  <c r="AH54" i="1" s="1"/>
  <c r="AH103" i="1"/>
  <c r="AH121" i="1" s="1"/>
  <c r="AC101" i="1"/>
  <c r="AC121" i="1" s="1"/>
  <c r="AC8" i="1"/>
  <c r="AC17" i="1" s="1"/>
  <c r="AB29" i="1" s="1"/>
  <c r="AB31" i="1" s="1"/>
  <c r="AC32" i="1" s="1"/>
  <c r="AC47" i="1" s="1"/>
  <c r="AC54" i="1" s="1"/>
  <c r="X119" i="1"/>
  <c r="X3" i="1"/>
  <c r="X6" i="1" s="1"/>
  <c r="X8" i="1" s="1"/>
  <c r="X98" i="1"/>
  <c r="X91" i="1"/>
  <c r="X71" i="1"/>
  <c r="W61" i="1"/>
  <c r="X66" i="1" s="1"/>
  <c r="W52" i="1"/>
  <c r="W46" i="1"/>
  <c r="X28" i="1"/>
  <c r="W16" i="1"/>
  <c r="S118" i="1"/>
  <c r="S96" i="1"/>
  <c r="S89" i="1"/>
  <c r="S81" i="1"/>
  <c r="S71" i="1"/>
  <c r="R61" i="1"/>
  <c r="S66" i="1" s="1"/>
  <c r="R52" i="1"/>
  <c r="R46" i="1"/>
  <c r="S28" i="1"/>
  <c r="R16" i="1"/>
  <c r="S3" i="1"/>
  <c r="S6" i="1" s="1"/>
  <c r="S8" i="1" s="1"/>
  <c r="N116" i="1"/>
  <c r="M16" i="1"/>
  <c r="N3" i="1"/>
  <c r="N6" i="1" s="1"/>
  <c r="N8" i="1" s="1"/>
  <c r="N97" i="1"/>
  <c r="N90" i="1"/>
  <c r="N82" i="1"/>
  <c r="N72" i="1"/>
  <c r="M61" i="1"/>
  <c r="N66" i="1" s="1"/>
  <c r="M52" i="1"/>
  <c r="M46" i="1"/>
  <c r="N28" i="1"/>
  <c r="D108" i="1"/>
  <c r="I110" i="1"/>
  <c r="I3" i="1"/>
  <c r="I6" i="1" s="1"/>
  <c r="I8" i="1" s="1"/>
  <c r="I96" i="1"/>
  <c r="I89" i="1"/>
  <c r="I81" i="1"/>
  <c r="I72" i="1"/>
  <c r="H61" i="1"/>
  <c r="I66" i="1" s="1"/>
  <c r="H52" i="1"/>
  <c r="H46" i="1"/>
  <c r="I28" i="1"/>
  <c r="H16" i="1"/>
  <c r="D96" i="1"/>
  <c r="D89" i="1"/>
  <c r="D81" i="1"/>
  <c r="D72" i="1"/>
  <c r="C52" i="1"/>
  <c r="C46" i="1"/>
  <c r="D28" i="1"/>
  <c r="C16" i="1"/>
  <c r="D6" i="1"/>
  <c r="D8" i="1" s="1"/>
  <c r="C61" i="1"/>
  <c r="D66" i="1" s="1"/>
  <c r="F104" i="2" l="1"/>
  <c r="D119" i="2" s="1"/>
  <c r="X17" i="1"/>
  <c r="W29" i="1" s="1"/>
  <c r="W31" i="1" s="1"/>
  <c r="X32" i="1" s="1"/>
  <c r="X47" i="1" s="1"/>
  <c r="X53" i="1" s="1"/>
  <c r="X99" i="1"/>
  <c r="X120" i="1" s="1"/>
  <c r="S97" i="1"/>
  <c r="S119" i="1" s="1"/>
  <c r="S17" i="1"/>
  <c r="R29" i="1" s="1"/>
  <c r="R31" i="1" s="1"/>
  <c r="S32" i="1" s="1"/>
  <c r="S47" i="1" s="1"/>
  <c r="S53" i="1" s="1"/>
  <c r="I97" i="1"/>
  <c r="I111" i="1" s="1"/>
  <c r="N98" i="1"/>
  <c r="N117" i="1" s="1"/>
  <c r="N17" i="1"/>
  <c r="M29" i="1" s="1"/>
  <c r="M31" i="1" s="1"/>
  <c r="N32" i="1" s="1"/>
  <c r="N47" i="1" s="1"/>
  <c r="N53" i="1" s="1"/>
  <c r="D97" i="1"/>
  <c r="D109" i="1" s="1"/>
  <c r="I17" i="1"/>
  <c r="H29" i="1" s="1"/>
  <c r="H31" i="1" s="1"/>
  <c r="I32" i="1" s="1"/>
  <c r="I47" i="1" s="1"/>
  <c r="I53" i="1" s="1"/>
  <c r="D17" i="1"/>
  <c r="C29" i="1" s="1"/>
  <c r="C31" i="1" s="1"/>
  <c r="D32" i="1" s="1"/>
  <c r="D47" i="1" s="1"/>
  <c r="D53" i="1" s="1"/>
  <c r="AO54" i="1" l="1"/>
</calcChain>
</file>

<file path=xl/sharedStrings.xml><?xml version="1.0" encoding="utf-8"?>
<sst xmlns="http://schemas.openxmlformats.org/spreadsheetml/2006/main" count="4749" uniqueCount="409">
  <si>
    <t>Opening Stock</t>
  </si>
  <si>
    <t>Purchases</t>
  </si>
  <si>
    <t>Carriage Inward</t>
  </si>
  <si>
    <t>Closing Stock</t>
  </si>
  <si>
    <t>Factory Overhead</t>
  </si>
  <si>
    <t>Wages</t>
  </si>
  <si>
    <t>Fuel &amp; Lubricant</t>
  </si>
  <si>
    <t>Electricity Bill</t>
  </si>
  <si>
    <t>Maintainace</t>
  </si>
  <si>
    <t>Depreciation</t>
  </si>
  <si>
    <t>Sales</t>
  </si>
  <si>
    <t>Refund</t>
  </si>
  <si>
    <t>Net Sales</t>
  </si>
  <si>
    <t>Production Cost</t>
  </si>
  <si>
    <t>Gross Profit</t>
  </si>
  <si>
    <t>Admin Expenses</t>
  </si>
  <si>
    <t>Admin exp</t>
  </si>
  <si>
    <t>Admin Salary</t>
  </si>
  <si>
    <t>Bank Charge</t>
  </si>
  <si>
    <t>Office Expenses</t>
  </si>
  <si>
    <t>Professional Fee</t>
  </si>
  <si>
    <t>Tax</t>
  </si>
  <si>
    <t>Pension</t>
  </si>
  <si>
    <t>Security</t>
  </si>
  <si>
    <t>Welfare</t>
  </si>
  <si>
    <t>Zakat &amp; Sallah</t>
  </si>
  <si>
    <t>Net Profit</t>
  </si>
  <si>
    <t>Chairman Withdrawal</t>
  </si>
  <si>
    <t>Mining</t>
  </si>
  <si>
    <t>ClosinG Stock</t>
  </si>
  <si>
    <t>Cash at hand</t>
  </si>
  <si>
    <t>Gt Bank</t>
  </si>
  <si>
    <t>Eco Bank</t>
  </si>
  <si>
    <t>Jaiz Bank</t>
  </si>
  <si>
    <t>Customer Debth</t>
  </si>
  <si>
    <t>Abdul Bawa</t>
  </si>
  <si>
    <t>Jamil Sani</t>
  </si>
  <si>
    <t>Alh sani Katsina</t>
  </si>
  <si>
    <t>Rabiu Capenter</t>
  </si>
  <si>
    <t>Staff Loan</t>
  </si>
  <si>
    <t>Alh Bala Muazu</t>
  </si>
  <si>
    <t>Umar sikeri</t>
  </si>
  <si>
    <t>Hannatu</t>
  </si>
  <si>
    <t>Mal Amadu</t>
  </si>
  <si>
    <t>Sani</t>
  </si>
  <si>
    <t>Bagobiri</t>
  </si>
  <si>
    <t>Ado</t>
  </si>
  <si>
    <t>Others</t>
  </si>
  <si>
    <t>Fak Project</t>
  </si>
  <si>
    <t>Zarewa Motors</t>
  </si>
  <si>
    <t>Nurul Siraj</t>
  </si>
  <si>
    <t>Mining &amp; Truck</t>
  </si>
  <si>
    <t>Almadina Hospital</t>
  </si>
  <si>
    <t>Maiduguri</t>
  </si>
  <si>
    <t>Fix Asset</t>
  </si>
  <si>
    <t>Land and Building</t>
  </si>
  <si>
    <t>Furnitures &amp; fittings</t>
  </si>
  <si>
    <t>New machine(steptiles)</t>
  </si>
  <si>
    <t>Generator</t>
  </si>
  <si>
    <t>Creditors</t>
  </si>
  <si>
    <t>BOI</t>
  </si>
  <si>
    <t>Jalingo Branch</t>
  </si>
  <si>
    <t>Mustapha Sali</t>
  </si>
  <si>
    <t xml:space="preserve">Ibrahim Abubakar </t>
  </si>
  <si>
    <t>Bawa Nafiu</t>
  </si>
  <si>
    <t>Strong Kano</t>
  </si>
  <si>
    <t xml:space="preserve">BAWA Abubakar </t>
  </si>
  <si>
    <t>Global Marori</t>
  </si>
  <si>
    <t>HQ</t>
  </si>
  <si>
    <t>Intrest</t>
  </si>
  <si>
    <t>5N Ventures</t>
  </si>
  <si>
    <t>Zarewa Aluminium And Plastics Ltd Kaduna</t>
  </si>
  <si>
    <t>Production Account for the month end May</t>
  </si>
  <si>
    <t>Profit and Lost Account for the month end May</t>
  </si>
  <si>
    <t>Asset and liability Account for the month end May</t>
  </si>
  <si>
    <t>Aliyu Sec</t>
  </si>
  <si>
    <t>Douglas</t>
  </si>
  <si>
    <t>Mining (conzonite)</t>
  </si>
  <si>
    <t>Engr Ozize</t>
  </si>
  <si>
    <t>Yola Branch</t>
  </si>
  <si>
    <t>Global Scafold</t>
  </si>
  <si>
    <t>Production Account for the month end June</t>
  </si>
  <si>
    <t>Profit and Lost Account for the month end June</t>
  </si>
  <si>
    <t>Ayo</t>
  </si>
  <si>
    <t>Aisha</t>
  </si>
  <si>
    <t>hon felex</t>
  </si>
  <si>
    <t>0.7 sokoto</t>
  </si>
  <si>
    <t>Mustapha tanimu</t>
  </si>
  <si>
    <t>Arsala shehu</t>
  </si>
  <si>
    <t>Production Account for the month end July</t>
  </si>
  <si>
    <t>Profit and Lost Account for the month end July</t>
  </si>
  <si>
    <t>Asset and liability Account for the month end july</t>
  </si>
  <si>
    <t xml:space="preserve"> </t>
  </si>
  <si>
    <t>Plant and machineries</t>
  </si>
  <si>
    <t>Haruna</t>
  </si>
  <si>
    <t>Obumeck</t>
  </si>
  <si>
    <t>tanko muktar</t>
  </si>
  <si>
    <t>Ebest refund</t>
  </si>
  <si>
    <t>Danjuma Ibrahim</t>
  </si>
  <si>
    <t>Capricon digital</t>
  </si>
  <si>
    <t>Garba Ibrahim</t>
  </si>
  <si>
    <t>Production Account for the month end August</t>
  </si>
  <si>
    <t>Profit and Lost Account for the month end Agust</t>
  </si>
  <si>
    <t>isya</t>
  </si>
  <si>
    <t>Production Account for the month end September</t>
  </si>
  <si>
    <t>Profit and Lost Account for the month end September</t>
  </si>
  <si>
    <t>Stromsheild</t>
  </si>
  <si>
    <t>Kabiru Muhd</t>
  </si>
  <si>
    <t>Bello shittu(stone coated)</t>
  </si>
  <si>
    <t>Habbiy Jim Nig</t>
  </si>
  <si>
    <t>Usman Muhd</t>
  </si>
  <si>
    <t>Ecobank Cash</t>
  </si>
  <si>
    <t>END OF THE MONTH OF SEPTEMBER 2023</t>
  </si>
  <si>
    <t>S/N</t>
  </si>
  <si>
    <t>CLOUR</t>
  </si>
  <si>
    <t>COIL NO</t>
  </si>
  <si>
    <t>KG</t>
  </si>
  <si>
    <t>REMARK</t>
  </si>
  <si>
    <t>GB</t>
  </si>
  <si>
    <t>IV</t>
  </si>
  <si>
    <t>BG</t>
  </si>
  <si>
    <t>PR</t>
  </si>
  <si>
    <t>HMB</t>
  </si>
  <si>
    <t>NB</t>
  </si>
  <si>
    <t>TB</t>
  </si>
  <si>
    <t>ST</t>
  </si>
  <si>
    <t>0.55 FULL</t>
  </si>
  <si>
    <t>AZ 0.28</t>
  </si>
  <si>
    <t>AZ 0.24</t>
  </si>
  <si>
    <t>PG</t>
  </si>
  <si>
    <t>GUAGE</t>
  </si>
  <si>
    <t>UNIT</t>
  </si>
  <si>
    <t>SPOOL</t>
  </si>
  <si>
    <t>WORTH</t>
  </si>
  <si>
    <t>FULL 0.55</t>
  </si>
  <si>
    <t>NET</t>
  </si>
  <si>
    <t>ITEM</t>
  </si>
  <si>
    <t>QUANTITY</t>
  </si>
  <si>
    <t>COST</t>
  </si>
  <si>
    <t>AMOUNT</t>
  </si>
  <si>
    <t>NAILS</t>
  </si>
  <si>
    <t>RIVET PIN</t>
  </si>
  <si>
    <t>SILICON</t>
  </si>
  <si>
    <t>WASHER</t>
  </si>
  <si>
    <t>FELT</t>
  </si>
  <si>
    <t>RETURN MATERIAL</t>
  </si>
  <si>
    <t>TOTAL STOCK</t>
  </si>
  <si>
    <t>Asset and liability Account for the month end September</t>
  </si>
  <si>
    <t>Production Account for the month end October</t>
  </si>
  <si>
    <t>Profit and Lost Account for the month end October</t>
  </si>
  <si>
    <t>Asset and liability Account for the month end Octorber</t>
  </si>
  <si>
    <t>Dechimex</t>
  </si>
  <si>
    <t>truck</t>
  </si>
  <si>
    <t>Samuel</t>
  </si>
  <si>
    <t>Laraba</t>
  </si>
  <si>
    <t>Bush Green commision</t>
  </si>
  <si>
    <t>Kabiru Muhd KOKO QT 562</t>
  </si>
  <si>
    <t>Production Account for the month end November</t>
  </si>
  <si>
    <t>Profit and Lost Account for the month end November</t>
  </si>
  <si>
    <t>Dahiru</t>
  </si>
  <si>
    <t>Taj bank</t>
  </si>
  <si>
    <t>Production Account for the month end December</t>
  </si>
  <si>
    <t>Auwal Bakari</t>
  </si>
  <si>
    <t>Sarkin Labar</t>
  </si>
  <si>
    <t>Usman Aliyu(suleiman zaria)</t>
  </si>
  <si>
    <t>Mamia 0.7</t>
  </si>
  <si>
    <t>Lagos 0.7</t>
  </si>
  <si>
    <t>Ali Assesories</t>
  </si>
  <si>
    <t>Salisu</t>
  </si>
  <si>
    <t>spool</t>
  </si>
  <si>
    <t>Baban Abdallah</t>
  </si>
  <si>
    <t>Production Account for the month end January</t>
  </si>
  <si>
    <t>Profit and Lost Account for the month end Janaury</t>
  </si>
  <si>
    <t>Profit and Lost Account for the month end Febuary</t>
  </si>
  <si>
    <t>Production Account for the month end Febuary</t>
  </si>
  <si>
    <t>Asset and liability Account for the month end January</t>
  </si>
  <si>
    <t>Asset and liability Account for the month end Febuary</t>
  </si>
  <si>
    <t>deposit pos</t>
  </si>
  <si>
    <t>yahuza</t>
  </si>
  <si>
    <t>muazzam suleiman</t>
  </si>
  <si>
    <t>Production Account for the month end MARCH</t>
  </si>
  <si>
    <t>Zamfara ivory 0.55 full</t>
  </si>
  <si>
    <t>Shado clara</t>
  </si>
  <si>
    <t>Maryam</t>
  </si>
  <si>
    <t>Saadu</t>
  </si>
  <si>
    <t>Abdulnasir</t>
  </si>
  <si>
    <t>ibraim bra</t>
  </si>
  <si>
    <t>Production Account for the month end April</t>
  </si>
  <si>
    <t>Profit and Lost Account for the month end April</t>
  </si>
  <si>
    <t>Airforce HMB</t>
  </si>
  <si>
    <t>Asset and liability Account for the month end April</t>
  </si>
  <si>
    <t>Uche Storm</t>
  </si>
  <si>
    <t>Asset and liability Account for the month end may</t>
  </si>
  <si>
    <t>Emma</t>
  </si>
  <si>
    <t>Security Room</t>
  </si>
  <si>
    <t>Asset and liability Account for the month end June</t>
  </si>
  <si>
    <t>Strong Standard</t>
  </si>
  <si>
    <t>Yauba</t>
  </si>
  <si>
    <t>END OF THE MONTH OF MAY 2024</t>
  </si>
  <si>
    <t>END OF THE MONTH OF JUNE 2024</t>
  </si>
  <si>
    <t>COLOUR</t>
  </si>
  <si>
    <t xml:space="preserve">REMARK </t>
  </si>
  <si>
    <t>BG BIG</t>
  </si>
  <si>
    <t>IV 0.60</t>
  </si>
  <si>
    <t>F 0.55</t>
  </si>
  <si>
    <t xml:space="preserve">BG </t>
  </si>
  <si>
    <t xml:space="preserve">ST </t>
  </si>
  <si>
    <t xml:space="preserve">HMB  </t>
  </si>
  <si>
    <t xml:space="preserve">PR  </t>
  </si>
  <si>
    <t>GB 0.20</t>
  </si>
  <si>
    <t xml:space="preserve">GB </t>
  </si>
  <si>
    <t>COUNT</t>
  </si>
  <si>
    <t>NET KG</t>
  </si>
  <si>
    <t>TOTAL</t>
  </si>
  <si>
    <t>Alum (spool 35kg)</t>
  </si>
  <si>
    <t>F0.55</t>
  </si>
  <si>
    <t>aluzinc(spool 60)</t>
  </si>
  <si>
    <t>ACCESSORIES</t>
  </si>
  <si>
    <t>TOTAL=</t>
  </si>
  <si>
    <t>ASHRAF FEES</t>
  </si>
  <si>
    <t>JJ</t>
  </si>
  <si>
    <t>Strong kano</t>
  </si>
  <si>
    <t>pricing</t>
  </si>
  <si>
    <t>0.55f</t>
  </si>
  <si>
    <t xml:space="preserve">  </t>
  </si>
  <si>
    <t>END OF THE MONTH OF APRIL STOCK 2024</t>
  </si>
  <si>
    <t xml:space="preserve">S/N </t>
  </si>
  <si>
    <t>IV MILK</t>
  </si>
  <si>
    <t>DG</t>
  </si>
  <si>
    <t xml:space="preserve">FELT </t>
  </si>
  <si>
    <t>yauba</t>
  </si>
  <si>
    <t>END OF THE MONTH OF JUly 2024</t>
  </si>
  <si>
    <t>Production Account for the month end JuLY</t>
  </si>
  <si>
    <t>Abdulrauf</t>
  </si>
  <si>
    <t>Bamboo</t>
  </si>
  <si>
    <t>Linda sabo(stone coated)</t>
  </si>
  <si>
    <t>Millano red</t>
  </si>
  <si>
    <t>Patrick</t>
  </si>
  <si>
    <t>-</t>
  </si>
  <si>
    <t>Profit and Lost Account for the month end August</t>
  </si>
  <si>
    <t>Asset and liability Account for the month end August</t>
  </si>
  <si>
    <t>Ali Manager</t>
  </si>
  <si>
    <t>Bilyaminu maiha</t>
  </si>
  <si>
    <t>conv</t>
  </si>
  <si>
    <t>Jubril (samila haladu)</t>
  </si>
  <si>
    <t>Ahmed Bush green</t>
  </si>
  <si>
    <t>Idris suleiman</t>
  </si>
  <si>
    <t>Abdullahi sani (NB)</t>
  </si>
  <si>
    <t xml:space="preserve">END OF THE MONTH OF AUGUST </t>
  </si>
  <si>
    <t>END OF THE MONTH OF SEPTEMBER 2024</t>
  </si>
  <si>
    <t xml:space="preserve">COLOUR </t>
  </si>
  <si>
    <t>TC R</t>
  </si>
  <si>
    <t>BB</t>
  </si>
  <si>
    <t>TCR</t>
  </si>
  <si>
    <t>ACCESORRISE</t>
  </si>
  <si>
    <t xml:space="preserve">SILICONE </t>
  </si>
  <si>
    <t>Engr Ayo</t>
  </si>
  <si>
    <t>END OF THE MONTH OF OCTOBER 2024</t>
  </si>
  <si>
    <t>P</t>
  </si>
  <si>
    <t>HMB 0.7</t>
  </si>
  <si>
    <t>Qualitec</t>
  </si>
  <si>
    <t>Kaduna</t>
  </si>
  <si>
    <t>Yola</t>
  </si>
  <si>
    <t>Maid</t>
  </si>
  <si>
    <t>Jalingo</t>
  </si>
  <si>
    <t>Meters  Avg</t>
  </si>
  <si>
    <t>Expenses</t>
  </si>
  <si>
    <t>Over Head Avg</t>
  </si>
  <si>
    <t>Admin Expenses avg</t>
  </si>
  <si>
    <t>Transport inward</t>
  </si>
  <si>
    <t>each 1,500m @ 100k</t>
  </si>
  <si>
    <t>150k</t>
  </si>
  <si>
    <t>Chairman Exp</t>
  </si>
  <si>
    <t>paid</t>
  </si>
  <si>
    <t>truck &amp;mining</t>
  </si>
  <si>
    <t>PG 0.7</t>
  </si>
  <si>
    <t>uche Lagos</t>
  </si>
  <si>
    <t>Sani Truck Driver</t>
  </si>
  <si>
    <t>END OF THE MONTH OF November 2024</t>
  </si>
  <si>
    <t>IV(0.6)</t>
  </si>
  <si>
    <t>END OF THE MONTH OF DECEMBER2024</t>
  </si>
  <si>
    <t>Production Account for the month end Novemebr</t>
  </si>
  <si>
    <t>Profit and Lost Account for the month end Novemeber</t>
  </si>
  <si>
    <t>Profit and Lost Account for the month end Octorber</t>
  </si>
  <si>
    <t>Asset and liability Account for the month end November</t>
  </si>
  <si>
    <t>Asset and liability Account for the month end October</t>
  </si>
  <si>
    <t>Profit and Lost Account for the month end Decemebr</t>
  </si>
  <si>
    <t>Asset and liability Account for the month end Decemebr</t>
  </si>
  <si>
    <t>Accessories</t>
  </si>
  <si>
    <t>Ebest PG 0.7</t>
  </si>
  <si>
    <t>YAHUZA</t>
  </si>
  <si>
    <t>Production Account for the month end january</t>
  </si>
  <si>
    <t>Profit and Lost Account for the month end January</t>
  </si>
  <si>
    <t>Asset and liability Account for the month end Janauary</t>
  </si>
  <si>
    <t>Production Account for the month end Febaury</t>
  </si>
  <si>
    <t>Profit and Lost Account for the month end Feb</t>
  </si>
  <si>
    <t>Asset and liability Account for the month end FEB</t>
  </si>
  <si>
    <t>ENGR WAZIRI</t>
  </si>
  <si>
    <t>Sokoto red</t>
  </si>
  <si>
    <t>falalu gari</t>
  </si>
  <si>
    <t>labar</t>
  </si>
  <si>
    <t>Engr zubair</t>
  </si>
  <si>
    <t>haliru muhd</t>
  </si>
  <si>
    <t>atta</t>
  </si>
  <si>
    <t>Production Account for the month end March</t>
  </si>
  <si>
    <t>Laila Sali</t>
  </si>
  <si>
    <t>Ali Onuche</t>
  </si>
  <si>
    <t>Yusuf Musa (Gad)</t>
  </si>
  <si>
    <t>Mamia</t>
  </si>
  <si>
    <t>Stock for the end of the month of April 2025</t>
  </si>
  <si>
    <t>Colour</t>
  </si>
  <si>
    <t>C/No</t>
  </si>
  <si>
    <t>Remark</t>
  </si>
  <si>
    <t>0.55F</t>
  </si>
  <si>
    <t>engr ilya</t>
  </si>
  <si>
    <t>ZUNGERU</t>
  </si>
  <si>
    <t>Coat Lagos</t>
  </si>
  <si>
    <t>uche RED 0.55</t>
  </si>
  <si>
    <t>Nafisat Zungeru</t>
  </si>
  <si>
    <t>Maiha Officer</t>
  </si>
  <si>
    <t>Engr Rufai</t>
  </si>
  <si>
    <t>Global Energy</t>
  </si>
  <si>
    <t>Stock for the end of the month of May 2025</t>
  </si>
  <si>
    <t>GAUGE</t>
  </si>
  <si>
    <t>ALUM (SPOOL 35kg)</t>
  </si>
  <si>
    <t>ALUZINC (SPOOL60kg)</t>
  </si>
  <si>
    <t>Stock for the end of the month of June 2025</t>
  </si>
  <si>
    <t xml:space="preserve">COST </t>
  </si>
  <si>
    <t xml:space="preserve">NAILS  </t>
  </si>
  <si>
    <t xml:space="preserve">COPPER NAIL </t>
  </si>
  <si>
    <t>Abdulkadir</t>
  </si>
  <si>
    <t>Production Account for the month end june</t>
  </si>
  <si>
    <t>Profit and Lost Account for the month end june</t>
  </si>
  <si>
    <t>Profit and Lost Account for the month end may</t>
  </si>
  <si>
    <t>7.8 x 1.2</t>
  </si>
  <si>
    <t>Production Account for the month end july</t>
  </si>
  <si>
    <t>Profit and Lost Account for the month end july</t>
  </si>
  <si>
    <t>Asset and liability Account for the month end june</t>
  </si>
  <si>
    <t>PL</t>
  </si>
  <si>
    <t>0.4AZ</t>
  </si>
  <si>
    <t>Stock for the end of the month of July 2025</t>
  </si>
  <si>
    <t>Shuaibu Adamu</t>
  </si>
  <si>
    <t>Nafisat aliyu</t>
  </si>
  <si>
    <t>Abu shehu</t>
  </si>
  <si>
    <t>Aminu buhari</t>
  </si>
  <si>
    <t>emma</t>
  </si>
  <si>
    <t>Nana Sali</t>
  </si>
  <si>
    <t>poly</t>
  </si>
  <si>
    <t>Stock for the end of the month of August 2025</t>
  </si>
  <si>
    <t xml:space="preserve">RIVET PINS </t>
  </si>
  <si>
    <t>SILICON TUBES</t>
  </si>
  <si>
    <t>Stock for the end of the month of September 2025</t>
  </si>
  <si>
    <t>.</t>
  </si>
  <si>
    <t xml:space="preserve">ACCESSORIES </t>
  </si>
  <si>
    <t xml:space="preserve">QUANTITY </t>
  </si>
  <si>
    <t>TAPPING SCREW</t>
  </si>
  <si>
    <t>Lagos</t>
  </si>
  <si>
    <t>Zungeru</t>
  </si>
  <si>
    <t>nana Sali</t>
  </si>
  <si>
    <t>aliyu</t>
  </si>
  <si>
    <t>gambo</t>
  </si>
  <si>
    <t>torino</t>
  </si>
  <si>
    <t>Airforce</t>
  </si>
  <si>
    <t>Overhead</t>
  </si>
  <si>
    <t>External Expenses</t>
  </si>
  <si>
    <t>Profit</t>
  </si>
  <si>
    <t>Asset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</si>
  <si>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</si>
  <si>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</si>
  <si>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</si>
  <si>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</si>
  <si>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</si>
  <si>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</si>
  <si>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</si>
  <si>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</si>
  <si>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</si>
  <si>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</si>
  <si>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</si>
  <si>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</si>
  <si>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</si>
  <si>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Summary Of Kaduna Asset for a year</t>
  </si>
  <si>
    <t>Total</t>
  </si>
  <si>
    <t>new</t>
  </si>
  <si>
    <t>Outside currugation</t>
  </si>
  <si>
    <t>nas</t>
  </si>
  <si>
    <t>Dechemix</t>
  </si>
  <si>
    <t>Tanimu</t>
  </si>
  <si>
    <t>Refund 2491</t>
  </si>
  <si>
    <t>Stock for the end of the month of October 2025</t>
  </si>
  <si>
    <t>C/N</t>
  </si>
  <si>
    <t>0.55FULL</t>
  </si>
  <si>
    <t>SILICON TUBE</t>
  </si>
  <si>
    <t>Strong</t>
  </si>
  <si>
    <t>Majid Mamia</t>
  </si>
  <si>
    <t>Moon ROOm</t>
  </si>
  <si>
    <t>Stock for the end of the month of November 2025</t>
  </si>
  <si>
    <t>C/NO</t>
  </si>
  <si>
    <t>stone coated</t>
  </si>
  <si>
    <t>Singlw</t>
  </si>
  <si>
    <t>Millano</t>
  </si>
  <si>
    <t>Bond</t>
  </si>
  <si>
    <t>Classic</t>
  </si>
  <si>
    <t>Rigachikun</t>
  </si>
  <si>
    <t>Stock for the end of the month of December 2025</t>
  </si>
  <si>
    <t>NAIL</t>
  </si>
  <si>
    <t>REPAIR KIT</t>
  </si>
  <si>
    <t>SAND</t>
  </si>
  <si>
    <t>METRO TILES NAILS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</si>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</sst>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_-[$₦-468]\ * #,##0.00_-;\-[$₦-468]\ * #,##0.00_-;_-[$₦-468]\ 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  <xf numFmtId="44" fontId="0" fillId="0" borderId="1" xfId="1" applyFont="1" applyBorder="1"/>
    <xf numFmtId="44" fontId="0" fillId="0" borderId="1" xfId="0" applyNumberFormat="1" applyBorder="1"/>
    <xf numFmtId="44" fontId="0" fillId="0" borderId="0" xfId="0" applyNumberFormat="1"/>
    <xf numFmtId="44" fontId="0" fillId="0" borderId="0" xfId="1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5" fontId="1" fillId="0" borderId="1" xfId="2" applyNumberFormat="1" applyFont="1" applyBorder="1" applyAlignment="1">
      <alignment horizontal="left"/>
    </xf>
    <xf numFmtId="165" fontId="0" fillId="0" borderId="1" xfId="2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0" fillId="0" borderId="0" xfId="2" applyNumberFormat="1" applyFont="1" applyAlignment="1">
      <alignment horizontal="left"/>
    </xf>
    <xf numFmtId="165" fontId="1" fillId="0" borderId="0" xfId="2" applyNumberFormat="1" applyFont="1" applyBorder="1" applyAlignment="1">
      <alignment horizontal="left"/>
    </xf>
    <xf numFmtId="165" fontId="0" fillId="0" borderId="1" xfId="2" applyNumberFormat="1" applyFont="1" applyBorder="1"/>
    <xf numFmtId="43" fontId="0" fillId="0" borderId="1" xfId="2" applyFont="1" applyBorder="1"/>
    <xf numFmtId="0" fontId="0" fillId="0" borderId="1" xfId="0" applyBorder="1" applyAlignment="1">
      <alignment horizontal="right"/>
    </xf>
    <xf numFmtId="43" fontId="1" fillId="0" borderId="1" xfId="2" applyFont="1" applyBorder="1"/>
    <xf numFmtId="165" fontId="1" fillId="0" borderId="1" xfId="0" applyNumberFormat="1" applyFont="1" applyBorder="1"/>
    <xf numFmtId="165" fontId="0" fillId="0" borderId="1" xfId="0" applyNumberFormat="1" applyBorder="1"/>
    <xf numFmtId="43" fontId="0" fillId="0" borderId="1" xfId="0" applyNumberFormat="1" applyBorder="1"/>
    <xf numFmtId="43" fontId="1" fillId="0" borderId="1" xfId="0" applyNumberFormat="1" applyFont="1" applyBorder="1"/>
    <xf numFmtId="44" fontId="0" fillId="0" borderId="1" xfId="1" applyFont="1" applyBorder="1" applyAlignment="1">
      <alignment horizontal="center"/>
    </xf>
    <xf numFmtId="44" fontId="0" fillId="0" borderId="1" xfId="1" applyFont="1" applyBorder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2" applyNumberFormat="1" applyFont="1" applyAlignment="1">
      <alignment horizontal="left"/>
    </xf>
    <xf numFmtId="165" fontId="1" fillId="0" borderId="0" xfId="0" applyNumberFormat="1" applyFont="1"/>
    <xf numFmtId="44" fontId="0" fillId="0" borderId="0" xfId="1" applyFont="1" applyBorder="1"/>
    <xf numFmtId="165" fontId="1" fillId="0" borderId="1" xfId="2" applyNumberFormat="1" applyFont="1" applyBorder="1"/>
    <xf numFmtId="165" fontId="0" fillId="0" borderId="0" xfId="2" applyNumberFormat="1" applyFont="1"/>
    <xf numFmtId="44" fontId="1" fillId="0" borderId="1" xfId="1" applyFont="1" applyBorder="1"/>
    <xf numFmtId="3" fontId="0" fillId="0" borderId="1" xfId="0" applyNumberFormat="1" applyBorder="1"/>
    <xf numFmtId="44" fontId="1" fillId="0" borderId="1" xfId="0" applyNumberFormat="1" applyFont="1" applyBorder="1"/>
    <xf numFmtId="44" fontId="3" fillId="0" borderId="1" xfId="1" applyFont="1" applyBorder="1"/>
    <xf numFmtId="2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E6D2-F5D1-4625-A720-2590FF98B262}">
  <dimension ref="B1:AO121"/>
  <sheetViews>
    <sheetView zoomScale="112" workbookViewId="0">
      <selection activeCell="B32" sqref="B32"/>
    </sheetView>
  </sheetViews>
  <sheetFormatPr defaultRowHeight="15" x14ac:dyDescent="0.25"/>
  <cols>
    <col min="1" max="1" width="7.42578125" customWidth="1"/>
    <col min="2" max="2" width="22.7109375" bestFit="1" customWidth="1"/>
    <col min="3" max="4" width="17.28515625" style="1" bestFit="1" customWidth="1"/>
    <col min="5" max="5" width="17.28515625" style="1" customWidth="1"/>
    <col min="6" max="6" width="12.85546875" customWidth="1"/>
    <col min="7" max="7" width="21.42578125" customWidth="1"/>
    <col min="8" max="9" width="17.28515625" bestFit="1" customWidth="1"/>
    <col min="10" max="10" width="17.28515625" customWidth="1"/>
    <col min="11" max="11" width="14.140625" customWidth="1"/>
    <col min="12" max="12" width="24" bestFit="1" customWidth="1"/>
    <col min="13" max="14" width="17.28515625" bestFit="1" customWidth="1"/>
    <col min="15" max="15" width="17.28515625" customWidth="1"/>
    <col min="17" max="17" width="24" bestFit="1" customWidth="1"/>
    <col min="18" max="19" width="17.28515625" bestFit="1" customWidth="1"/>
    <col min="21" max="21" width="17.28515625" bestFit="1" customWidth="1"/>
    <col min="22" max="22" width="24" bestFit="1" customWidth="1"/>
    <col min="23" max="24" width="17.28515625" bestFit="1" customWidth="1"/>
    <col min="25" max="25" width="24" bestFit="1" customWidth="1"/>
    <col min="26" max="26" width="3.140625" customWidth="1"/>
    <col min="27" max="27" width="26" customWidth="1"/>
    <col min="28" max="28" width="16.28515625" bestFit="1" customWidth="1"/>
    <col min="29" max="29" width="17.28515625" customWidth="1"/>
    <col min="30" max="30" width="3.5703125" customWidth="1"/>
    <col min="31" max="31" width="8.7109375" customWidth="1"/>
    <col min="32" max="32" width="25.140625" bestFit="1" customWidth="1"/>
    <col min="33" max="33" width="17.28515625" bestFit="1" customWidth="1"/>
    <col min="34" max="34" width="24.28515625" customWidth="1"/>
    <col min="35" max="35" width="9.140625" customWidth="1"/>
    <col min="37" max="37" width="25.140625" bestFit="1" customWidth="1"/>
    <col min="38" max="39" width="17.28515625" bestFit="1" customWidth="1"/>
    <col min="41" max="41" width="16.140625" bestFit="1" customWidth="1"/>
  </cols>
  <sheetData>
    <row r="1" spans="2:39" x14ac:dyDescent="0.25">
      <c r="B1" s="42" t="s">
        <v>71</v>
      </c>
      <c r="C1" s="42"/>
      <c r="D1" s="42"/>
      <c r="E1" s="4"/>
      <c r="G1" s="42" t="s">
        <v>71</v>
      </c>
      <c r="H1" s="42"/>
      <c r="I1" s="42"/>
      <c r="J1" s="4"/>
      <c r="L1" s="42" t="s">
        <v>71</v>
      </c>
      <c r="M1" s="42"/>
      <c r="N1" s="42"/>
      <c r="O1" s="4"/>
      <c r="Q1" s="42" t="s">
        <v>71</v>
      </c>
      <c r="R1" s="42"/>
      <c r="S1" s="42"/>
      <c r="V1" s="42" t="s">
        <v>71</v>
      </c>
      <c r="W1" s="42"/>
      <c r="X1" s="42"/>
      <c r="AA1" s="42" t="s">
        <v>71</v>
      </c>
      <c r="AB1" s="42"/>
      <c r="AC1" s="42"/>
      <c r="AF1" s="42" t="s">
        <v>71</v>
      </c>
      <c r="AG1" s="42"/>
      <c r="AH1" s="42"/>
      <c r="AK1" s="42" t="s">
        <v>71</v>
      </c>
      <c r="AL1" s="42"/>
      <c r="AM1" s="42"/>
    </row>
    <row r="2" spans="2:39" x14ac:dyDescent="0.25">
      <c r="B2" s="42" t="s">
        <v>72</v>
      </c>
      <c r="C2" s="42"/>
      <c r="D2" s="42"/>
      <c r="E2" s="4"/>
      <c r="G2" s="42" t="s">
        <v>81</v>
      </c>
      <c r="H2" s="42"/>
      <c r="I2" s="42"/>
      <c r="J2" s="4"/>
      <c r="L2" s="42" t="s">
        <v>89</v>
      </c>
      <c r="M2" s="42"/>
      <c r="N2" s="42"/>
      <c r="O2" s="4"/>
      <c r="Q2" s="42" t="s">
        <v>101</v>
      </c>
      <c r="R2" s="42"/>
      <c r="S2" s="42"/>
      <c r="V2" s="42" t="s">
        <v>104</v>
      </c>
      <c r="W2" s="42"/>
      <c r="X2" s="42"/>
      <c r="AA2" s="42" t="s">
        <v>148</v>
      </c>
      <c r="AB2" s="42"/>
      <c r="AC2" s="42"/>
      <c r="AF2" s="42" t="s">
        <v>157</v>
      </c>
      <c r="AG2" s="42"/>
      <c r="AH2" s="42"/>
      <c r="AK2" s="42" t="s">
        <v>161</v>
      </c>
      <c r="AL2" s="42"/>
      <c r="AM2" s="42"/>
    </row>
    <row r="3" spans="2:39" x14ac:dyDescent="0.25">
      <c r="B3" t="s">
        <v>0</v>
      </c>
      <c r="D3" s="1">
        <v>64643620</v>
      </c>
      <c r="G3" t="s">
        <v>0</v>
      </c>
      <c r="H3" s="1"/>
      <c r="I3" s="1">
        <f>C7</f>
        <v>122151270</v>
      </c>
      <c r="J3" s="1"/>
      <c r="L3" t="s">
        <v>0</v>
      </c>
      <c r="M3" s="1"/>
      <c r="N3" s="1">
        <f>H7</f>
        <v>110032510</v>
      </c>
      <c r="O3" s="1"/>
      <c r="Q3" t="s">
        <v>0</v>
      </c>
      <c r="R3" s="1"/>
      <c r="S3" s="1">
        <f>M7</f>
        <v>119085150</v>
      </c>
      <c r="V3" t="s">
        <v>0</v>
      </c>
      <c r="W3" s="1"/>
      <c r="X3" s="1">
        <f>R7</f>
        <v>109700300</v>
      </c>
      <c r="AA3" t="s">
        <v>0</v>
      </c>
      <c r="AB3" s="1"/>
      <c r="AC3" s="1">
        <f>W7</f>
        <v>85764250</v>
      </c>
      <c r="AF3" t="s">
        <v>0</v>
      </c>
      <c r="AG3" s="1"/>
      <c r="AH3" s="1">
        <f>AB7</f>
        <v>96485000</v>
      </c>
      <c r="AK3" t="s">
        <v>0</v>
      </c>
      <c r="AL3" s="1"/>
      <c r="AM3" s="1">
        <f>AG7</f>
        <v>100928250</v>
      </c>
    </row>
    <row r="4" spans="2:39" x14ac:dyDescent="0.25">
      <c r="B4" t="s">
        <v>1</v>
      </c>
      <c r="D4" s="1">
        <v>118594890</v>
      </c>
      <c r="G4" t="s">
        <v>1</v>
      </c>
      <c r="H4" s="1"/>
      <c r="I4" s="1">
        <v>48249230</v>
      </c>
      <c r="J4" s="1"/>
      <c r="L4" t="s">
        <v>1</v>
      </c>
      <c r="M4" s="1"/>
      <c r="N4" s="1">
        <v>55512380</v>
      </c>
      <c r="O4" s="1"/>
      <c r="Q4" t="s">
        <v>1</v>
      </c>
      <c r="R4" s="1"/>
      <c r="S4" s="1">
        <v>49559700</v>
      </c>
      <c r="V4" t="s">
        <v>1</v>
      </c>
      <c r="W4" s="1"/>
      <c r="X4" s="1">
        <v>27896591</v>
      </c>
      <c r="AA4" t="s">
        <v>1</v>
      </c>
      <c r="AB4" s="1"/>
      <c r="AC4" s="1">
        <v>59739006</v>
      </c>
      <c r="AF4" t="s">
        <v>1</v>
      </c>
      <c r="AG4" s="1"/>
      <c r="AH4" s="1">
        <v>29724603</v>
      </c>
      <c r="AK4" t="s">
        <v>1</v>
      </c>
      <c r="AL4" s="1"/>
      <c r="AM4" s="1">
        <v>53505400</v>
      </c>
    </row>
    <row r="5" spans="2:39" x14ac:dyDescent="0.25">
      <c r="B5" t="s">
        <v>2</v>
      </c>
      <c r="D5" s="1">
        <v>1040000</v>
      </c>
      <c r="G5" t="s">
        <v>2</v>
      </c>
      <c r="H5" s="1"/>
      <c r="I5" s="1">
        <v>454000</v>
      </c>
      <c r="J5" s="1"/>
      <c r="L5" t="s">
        <v>2</v>
      </c>
      <c r="M5" s="1"/>
      <c r="N5" s="1">
        <v>648500</v>
      </c>
      <c r="O5" s="1"/>
      <c r="Q5" t="s">
        <v>2</v>
      </c>
      <c r="R5" s="1"/>
      <c r="S5" s="1">
        <v>610000</v>
      </c>
      <c r="V5" t="s">
        <v>2</v>
      </c>
      <c r="W5" s="1"/>
      <c r="X5" s="1">
        <v>453000</v>
      </c>
      <c r="AA5" t="s">
        <v>2</v>
      </c>
      <c r="AB5" s="1"/>
      <c r="AC5" s="1">
        <v>590200</v>
      </c>
      <c r="AF5" t="s">
        <v>2</v>
      </c>
      <c r="AG5" s="1"/>
      <c r="AH5" s="1">
        <v>270050</v>
      </c>
      <c r="AK5" t="s">
        <v>2</v>
      </c>
      <c r="AL5" s="1"/>
      <c r="AM5" s="1">
        <v>463000</v>
      </c>
    </row>
    <row r="6" spans="2:39" x14ac:dyDescent="0.25">
      <c r="D6" s="1">
        <f>SUM(D3:D5)</f>
        <v>184278510</v>
      </c>
      <c r="H6" s="1"/>
      <c r="I6" s="1">
        <f>SUM(I3:I5)</f>
        <v>170854500</v>
      </c>
      <c r="J6" s="1"/>
      <c r="M6" s="1"/>
      <c r="N6" s="1">
        <f>SUM(N3:N5)</f>
        <v>166193390</v>
      </c>
      <c r="O6" s="1"/>
      <c r="R6" s="1"/>
      <c r="S6" s="1">
        <f>SUM(S3:S5)</f>
        <v>169254850</v>
      </c>
      <c r="W6" s="1"/>
      <c r="X6" s="1">
        <f>SUM(X3:X5)</f>
        <v>138049891</v>
      </c>
      <c r="AB6" s="1"/>
      <c r="AC6" s="1">
        <f>SUM(AC3:AC5)</f>
        <v>146093456</v>
      </c>
      <c r="AG6" s="1"/>
      <c r="AH6" s="1">
        <f>SUM(AH3:AH5)</f>
        <v>126479653</v>
      </c>
      <c r="AL6" s="1"/>
      <c r="AM6" s="1">
        <f>SUM(AM3:AM5)</f>
        <v>154896650</v>
      </c>
    </row>
    <row r="7" spans="2:39" x14ac:dyDescent="0.25">
      <c r="B7" t="s">
        <v>3</v>
      </c>
      <c r="C7" s="1">
        <v>122151270</v>
      </c>
      <c r="G7" t="s">
        <v>3</v>
      </c>
      <c r="H7" s="1">
        <v>110032510</v>
      </c>
      <c r="I7" s="1"/>
      <c r="J7" s="1"/>
      <c r="L7" t="s">
        <v>3</v>
      </c>
      <c r="M7" s="1">
        <v>119085150</v>
      </c>
      <c r="N7" s="1"/>
      <c r="O7" s="1"/>
      <c r="Q7" t="s">
        <v>3</v>
      </c>
      <c r="R7" s="1">
        <v>109700300</v>
      </c>
      <c r="S7" s="1"/>
      <c r="V7" t="s">
        <v>3</v>
      </c>
      <c r="W7" s="1">
        <v>85764250</v>
      </c>
      <c r="X7" s="1"/>
      <c r="AA7" t="s">
        <v>3</v>
      </c>
      <c r="AB7" s="1">
        <f>96485000</f>
        <v>96485000</v>
      </c>
      <c r="AC7" s="1"/>
      <c r="AF7" t="s">
        <v>3</v>
      </c>
      <c r="AG7" s="1">
        <v>100928250</v>
      </c>
      <c r="AH7" s="1"/>
      <c r="AK7" t="s">
        <v>3</v>
      </c>
      <c r="AL7" s="1">
        <v>101533360</v>
      </c>
      <c r="AM7" s="1"/>
    </row>
    <row r="8" spans="2:39" s="2" customFormat="1" x14ac:dyDescent="0.25">
      <c r="C8" s="3"/>
      <c r="D8" s="3">
        <f>D6-C7</f>
        <v>62127240</v>
      </c>
      <c r="E8" s="3"/>
      <c r="H8" s="3"/>
      <c r="I8" s="3">
        <f>I6-H7</f>
        <v>60821990</v>
      </c>
      <c r="J8" s="3"/>
      <c r="M8" s="3"/>
      <c r="N8" s="3">
        <f>N6-M7</f>
        <v>47108240</v>
      </c>
      <c r="O8" s="3"/>
      <c r="R8" s="3"/>
      <c r="S8" s="3">
        <f>S6-R7</f>
        <v>59554550</v>
      </c>
      <c r="W8" s="3"/>
      <c r="X8" s="3">
        <f>X6-W7</f>
        <v>52285641</v>
      </c>
      <c r="AB8" s="3"/>
      <c r="AC8" s="3">
        <f>AC6-AB7</f>
        <v>49608456</v>
      </c>
      <c r="AG8" s="3"/>
      <c r="AH8" s="3">
        <f>AH6-AG7</f>
        <v>25551403</v>
      </c>
      <c r="AL8" s="3"/>
      <c r="AM8" s="3">
        <f>AM6-AL7</f>
        <v>53363290</v>
      </c>
    </row>
    <row r="9" spans="2:39" x14ac:dyDescent="0.25">
      <c r="H9" s="1"/>
      <c r="I9" s="1"/>
      <c r="J9" s="1"/>
      <c r="M9" s="1"/>
      <c r="N9" s="1"/>
      <c r="O9" s="1"/>
      <c r="R9" s="1"/>
      <c r="S9" s="1"/>
      <c r="W9" s="1"/>
      <c r="X9" s="1"/>
      <c r="AB9" s="1"/>
      <c r="AC9" s="1"/>
      <c r="AG9" s="1"/>
      <c r="AH9" s="1"/>
      <c r="AL9" s="1"/>
      <c r="AM9" s="1"/>
    </row>
    <row r="10" spans="2:39" s="2" customFormat="1" x14ac:dyDescent="0.25">
      <c r="B10" s="2" t="s">
        <v>4</v>
      </c>
      <c r="C10" s="3"/>
      <c r="D10" s="3"/>
      <c r="E10" s="3"/>
      <c r="G10" s="2" t="s">
        <v>4</v>
      </c>
      <c r="H10" s="3"/>
      <c r="I10" s="3"/>
      <c r="J10" s="3"/>
      <c r="L10" s="2" t="s">
        <v>4</v>
      </c>
      <c r="M10" s="3"/>
      <c r="N10" s="3"/>
      <c r="O10" s="3"/>
      <c r="Q10" s="2" t="s">
        <v>4</v>
      </c>
      <c r="R10" s="3"/>
      <c r="S10" s="3"/>
      <c r="V10" s="2" t="s">
        <v>4</v>
      </c>
      <c r="W10" s="3"/>
      <c r="X10" s="3"/>
      <c r="AA10" s="2" t="s">
        <v>4</v>
      </c>
      <c r="AB10" s="3"/>
      <c r="AC10" s="3"/>
      <c r="AF10" s="2" t="s">
        <v>4</v>
      </c>
      <c r="AG10" s="3"/>
      <c r="AH10" s="3"/>
      <c r="AK10" s="2" t="s">
        <v>4</v>
      </c>
      <c r="AL10" s="3"/>
      <c r="AM10" s="3"/>
    </row>
    <row r="11" spans="2:39" x14ac:dyDescent="0.25">
      <c r="B11" t="s">
        <v>5</v>
      </c>
      <c r="C11" s="1">
        <v>196878.67</v>
      </c>
      <c r="G11" t="s">
        <v>5</v>
      </c>
      <c r="H11" s="1">
        <v>230000</v>
      </c>
      <c r="I11" s="1"/>
      <c r="J11" s="1"/>
      <c r="L11" t="s">
        <v>5</v>
      </c>
      <c r="M11" s="1">
        <v>239878.67</v>
      </c>
      <c r="N11" s="1"/>
      <c r="O11" s="1"/>
      <c r="Q11" t="s">
        <v>5</v>
      </c>
      <c r="R11" s="1">
        <v>326712.0033333333</v>
      </c>
      <c r="S11" s="1"/>
      <c r="V11" t="s">
        <v>5</v>
      </c>
      <c r="W11" s="1">
        <v>309212</v>
      </c>
      <c r="X11" s="1"/>
      <c r="AA11" t="s">
        <v>5</v>
      </c>
      <c r="AB11" s="1">
        <v>398065.6</v>
      </c>
      <c r="AC11" s="1"/>
      <c r="AF11" t="s">
        <v>5</v>
      </c>
      <c r="AG11" s="1">
        <v>398065.6</v>
      </c>
      <c r="AH11" s="1"/>
      <c r="AK11" t="s">
        <v>5</v>
      </c>
      <c r="AL11" s="1">
        <v>398065.6</v>
      </c>
      <c r="AM11" s="1"/>
    </row>
    <row r="12" spans="2:39" x14ac:dyDescent="0.25">
      <c r="B12" t="s">
        <v>6</v>
      </c>
      <c r="C12" s="1">
        <v>335400</v>
      </c>
      <c r="G12" t="s">
        <v>6</v>
      </c>
      <c r="H12" s="1">
        <v>155000</v>
      </c>
      <c r="I12" s="1"/>
      <c r="J12" s="1"/>
      <c r="L12" t="s">
        <v>6</v>
      </c>
      <c r="M12" s="1">
        <v>19500</v>
      </c>
      <c r="N12" s="1"/>
      <c r="O12" s="1"/>
      <c r="Q12" t="s">
        <v>6</v>
      </c>
      <c r="R12" s="1">
        <v>248000</v>
      </c>
      <c r="S12" s="1"/>
      <c r="V12" t="s">
        <v>6</v>
      </c>
      <c r="W12" s="1">
        <v>210000</v>
      </c>
      <c r="X12" s="1"/>
      <c r="AA12" t="s">
        <v>6</v>
      </c>
      <c r="AB12" s="1">
        <v>204000</v>
      </c>
      <c r="AC12" s="1"/>
      <c r="AF12" t="s">
        <v>6</v>
      </c>
      <c r="AG12" s="1">
        <v>255000</v>
      </c>
      <c r="AH12" s="1"/>
      <c r="AK12" t="s">
        <v>6</v>
      </c>
      <c r="AL12" s="1">
        <v>38000</v>
      </c>
      <c r="AM12" s="1"/>
    </row>
    <row r="13" spans="2:39" x14ac:dyDescent="0.25">
      <c r="B13" t="s">
        <v>7</v>
      </c>
      <c r="C13" s="1">
        <v>9100</v>
      </c>
      <c r="G13" t="s">
        <v>7</v>
      </c>
      <c r="H13" s="1">
        <v>12700</v>
      </c>
      <c r="I13" s="1"/>
      <c r="J13" s="1"/>
      <c r="L13" t="s">
        <v>7</v>
      </c>
      <c r="M13" s="1">
        <v>13000</v>
      </c>
      <c r="N13" s="1"/>
      <c r="O13" s="1"/>
      <c r="Q13" t="s">
        <v>7</v>
      </c>
      <c r="R13" s="1">
        <v>15000</v>
      </c>
      <c r="S13" s="1"/>
      <c r="V13" t="s">
        <v>7</v>
      </c>
      <c r="W13" s="1">
        <v>17000</v>
      </c>
      <c r="X13" s="1"/>
      <c r="AA13" t="s">
        <v>7</v>
      </c>
      <c r="AB13" s="1">
        <v>14000</v>
      </c>
      <c r="AC13" s="1"/>
      <c r="AF13" t="s">
        <v>7</v>
      </c>
      <c r="AG13" s="1">
        <v>25500</v>
      </c>
      <c r="AH13" s="1"/>
      <c r="AK13" t="s">
        <v>7</v>
      </c>
      <c r="AL13" s="1">
        <v>30000</v>
      </c>
      <c r="AM13" s="1"/>
    </row>
    <row r="14" spans="2:39" x14ac:dyDescent="0.25">
      <c r="B14" t="s">
        <v>8</v>
      </c>
      <c r="C14" s="1">
        <v>495870</v>
      </c>
      <c r="G14" t="s">
        <v>8</v>
      </c>
      <c r="H14" s="1">
        <v>97000</v>
      </c>
      <c r="I14" s="1"/>
      <c r="J14" s="1"/>
      <c r="L14" t="s">
        <v>8</v>
      </c>
      <c r="M14" s="1">
        <v>988650</v>
      </c>
      <c r="N14" s="1"/>
      <c r="O14" s="1"/>
      <c r="Q14" t="s">
        <v>8</v>
      </c>
      <c r="R14" s="1">
        <v>834500</v>
      </c>
      <c r="S14" s="1"/>
      <c r="V14" t="s">
        <v>8</v>
      </c>
      <c r="W14" s="1">
        <v>538400</v>
      </c>
      <c r="X14" s="1"/>
      <c r="AA14" t="s">
        <v>8</v>
      </c>
      <c r="AB14" s="1">
        <v>1083600</v>
      </c>
      <c r="AC14" s="1"/>
      <c r="AF14" t="s">
        <v>8</v>
      </c>
      <c r="AG14" s="1">
        <v>130500</v>
      </c>
      <c r="AH14" s="1"/>
      <c r="AK14" t="s">
        <v>8</v>
      </c>
      <c r="AL14" s="1">
        <v>142800</v>
      </c>
      <c r="AM14" s="1"/>
    </row>
    <row r="15" spans="2:39" x14ac:dyDescent="0.25">
      <c r="B15" t="s">
        <v>9</v>
      </c>
      <c r="C15" s="1">
        <v>110000</v>
      </c>
      <c r="G15" t="s">
        <v>9</v>
      </c>
      <c r="H15" s="1">
        <v>110000</v>
      </c>
      <c r="I15" s="1"/>
      <c r="J15" s="1"/>
      <c r="L15" t="s">
        <v>9</v>
      </c>
      <c r="M15" s="1">
        <v>110000</v>
      </c>
      <c r="N15" s="1"/>
      <c r="O15" s="1"/>
      <c r="Q15" t="s">
        <v>9</v>
      </c>
      <c r="R15" s="1">
        <v>110000</v>
      </c>
      <c r="S15" s="1"/>
      <c r="V15" t="s">
        <v>9</v>
      </c>
      <c r="W15" s="1">
        <v>110000</v>
      </c>
      <c r="X15" s="1"/>
      <c r="AA15" t="s">
        <v>9</v>
      </c>
      <c r="AB15" s="1">
        <v>110000</v>
      </c>
      <c r="AC15" s="1"/>
      <c r="AF15" t="s">
        <v>9</v>
      </c>
      <c r="AG15" s="1">
        <v>110000</v>
      </c>
      <c r="AH15" s="1"/>
      <c r="AK15" t="s">
        <v>9</v>
      </c>
      <c r="AL15" s="1">
        <v>110000</v>
      </c>
      <c r="AM15" s="1"/>
    </row>
    <row r="16" spans="2:39" x14ac:dyDescent="0.25">
      <c r="C16" s="1">
        <f>SUM(C11:C15)</f>
        <v>1147248.67</v>
      </c>
      <c r="H16" s="1">
        <f>SUM(H11:H15)</f>
        <v>604700</v>
      </c>
      <c r="I16" s="1"/>
      <c r="J16" s="1"/>
      <c r="M16" s="1">
        <f>SUM(M11:M15)</f>
        <v>1371028.67</v>
      </c>
      <c r="N16" s="1"/>
      <c r="O16" s="1"/>
      <c r="R16" s="1">
        <f>SUM(R11:R15)</f>
        <v>1534212.0033333334</v>
      </c>
      <c r="S16" s="1"/>
      <c r="W16" s="1">
        <f>SUM(W11:W15)</f>
        <v>1184612</v>
      </c>
      <c r="X16" s="1"/>
      <c r="AB16" s="1">
        <f>SUM(AB11:AB15)</f>
        <v>1809665.6</v>
      </c>
      <c r="AC16" s="1"/>
      <c r="AG16" s="1">
        <f>SUM(AG11:AG15)</f>
        <v>919065.59999999998</v>
      </c>
      <c r="AH16" s="1"/>
      <c r="AL16" s="1">
        <f>SUM(AL11:AL15)</f>
        <v>718865.6</v>
      </c>
      <c r="AM16" s="1"/>
    </row>
    <row r="17" spans="2:39" s="2" customFormat="1" x14ac:dyDescent="0.25">
      <c r="C17" s="3"/>
      <c r="D17" s="3">
        <f>D8+C16</f>
        <v>63274488.670000002</v>
      </c>
      <c r="E17" s="3"/>
      <c r="H17" s="3"/>
      <c r="I17" s="3">
        <f>I8+H16</f>
        <v>61426690</v>
      </c>
      <c r="J17" s="3"/>
      <c r="M17" s="3"/>
      <c r="N17" s="3">
        <f>N8+M16</f>
        <v>48479268.670000002</v>
      </c>
      <c r="O17" s="3"/>
      <c r="R17" s="3"/>
      <c r="S17" s="3">
        <f>S8+R16</f>
        <v>61088762.00333333</v>
      </c>
      <c r="W17" s="3"/>
      <c r="X17" s="3">
        <f>X8+W16</f>
        <v>53470253</v>
      </c>
      <c r="AB17" s="3"/>
      <c r="AC17" s="3">
        <f>AC8+AB16</f>
        <v>51418121.600000001</v>
      </c>
      <c r="AG17" s="3"/>
      <c r="AH17" s="3">
        <f>AH8+AG16</f>
        <v>26470468.600000001</v>
      </c>
      <c r="AL17" s="3"/>
      <c r="AM17" s="3">
        <f>AM8+AL16</f>
        <v>54082155.600000001</v>
      </c>
    </row>
    <row r="18" spans="2:39" x14ac:dyDescent="0.25">
      <c r="H18" s="1"/>
      <c r="I18" s="1"/>
      <c r="J18" s="1"/>
      <c r="M18" s="1"/>
      <c r="N18" s="1"/>
      <c r="O18" s="1"/>
      <c r="R18" s="1"/>
      <c r="S18" s="1"/>
      <c r="W18" s="1"/>
      <c r="X18" s="1"/>
      <c r="AB18" s="1"/>
      <c r="AC18" s="1"/>
      <c r="AG18" s="1"/>
      <c r="AH18" s="1"/>
      <c r="AL18" s="1"/>
      <c r="AM18" s="1"/>
    </row>
    <row r="19" spans="2:39" x14ac:dyDescent="0.25">
      <c r="H19" s="1"/>
      <c r="I19" s="1"/>
      <c r="J19" s="1"/>
      <c r="M19" s="1"/>
      <c r="N19" s="1"/>
      <c r="O19" s="1"/>
      <c r="R19" s="1"/>
      <c r="S19" s="1"/>
      <c r="W19" s="1"/>
      <c r="X19" s="1"/>
      <c r="AB19" s="1"/>
      <c r="AC19" s="1"/>
      <c r="AG19" s="1"/>
      <c r="AH19" s="1"/>
      <c r="AL19" s="1"/>
      <c r="AM19" s="1"/>
    </row>
    <row r="20" spans="2:39" x14ac:dyDescent="0.25">
      <c r="H20" s="1"/>
      <c r="I20" s="1"/>
      <c r="J20" s="1"/>
      <c r="M20" s="1"/>
      <c r="N20" s="1"/>
      <c r="O20" s="1"/>
      <c r="R20" s="1"/>
      <c r="S20" s="1"/>
      <c r="W20" s="1"/>
      <c r="X20" s="1"/>
      <c r="AB20" s="1"/>
      <c r="AC20" s="1"/>
      <c r="AG20" s="1"/>
      <c r="AH20" s="1"/>
      <c r="AL20" s="1"/>
      <c r="AM20" s="1"/>
    </row>
    <row r="21" spans="2:39" x14ac:dyDescent="0.25">
      <c r="H21" s="1"/>
      <c r="I21" s="1"/>
      <c r="J21" s="1"/>
      <c r="M21" s="1"/>
      <c r="N21" s="1"/>
      <c r="O21" s="1"/>
      <c r="R21" s="1"/>
      <c r="S21" s="1"/>
      <c r="W21" s="1"/>
      <c r="X21" s="1"/>
      <c r="AB21" s="1"/>
      <c r="AC21" s="1"/>
      <c r="AG21" s="1"/>
      <c r="AH21" s="1"/>
      <c r="AL21" s="1"/>
      <c r="AM21" s="1"/>
    </row>
    <row r="22" spans="2:39" x14ac:dyDescent="0.25">
      <c r="H22" s="1"/>
      <c r="I22" s="1"/>
      <c r="J22" s="1"/>
      <c r="M22" s="1"/>
      <c r="N22" s="1"/>
      <c r="O22" s="1"/>
      <c r="R22" s="1"/>
      <c r="S22" s="1"/>
      <c r="W22" s="1"/>
      <c r="X22" s="1"/>
      <c r="AB22" s="1"/>
      <c r="AC22" s="1"/>
      <c r="AG22" s="1"/>
      <c r="AH22" s="1"/>
      <c r="AL22" s="1"/>
      <c r="AM22" s="1"/>
    </row>
    <row r="23" spans="2:39" x14ac:dyDescent="0.25">
      <c r="B23" s="42" t="s">
        <v>71</v>
      </c>
      <c r="C23" s="42"/>
      <c r="D23" s="42"/>
      <c r="E23" s="4"/>
      <c r="G23" s="42" t="s">
        <v>71</v>
      </c>
      <c r="H23" s="42"/>
      <c r="I23" s="42"/>
      <c r="J23" s="4"/>
      <c r="L23" s="42" t="s">
        <v>71</v>
      </c>
      <c r="M23" s="42"/>
      <c r="N23" s="42"/>
      <c r="O23" s="4"/>
      <c r="Q23" s="42" t="s">
        <v>71</v>
      </c>
      <c r="R23" s="42"/>
      <c r="S23" s="42"/>
      <c r="V23" s="42" t="s">
        <v>71</v>
      </c>
      <c r="W23" s="42"/>
      <c r="X23" s="42"/>
      <c r="AA23" s="42" t="s">
        <v>71</v>
      </c>
      <c r="AB23" s="42"/>
      <c r="AC23" s="42"/>
      <c r="AF23" s="42" t="s">
        <v>71</v>
      </c>
      <c r="AG23" s="42"/>
      <c r="AH23" s="42"/>
      <c r="AK23" s="42" t="s">
        <v>71</v>
      </c>
      <c r="AL23" s="42"/>
      <c r="AM23" s="42"/>
    </row>
    <row r="24" spans="2:39" x14ac:dyDescent="0.25">
      <c r="B24" s="42" t="s">
        <v>73</v>
      </c>
      <c r="C24" s="42"/>
      <c r="D24" s="42"/>
      <c r="E24" s="4"/>
      <c r="G24" s="42" t="s">
        <v>82</v>
      </c>
      <c r="H24" s="42"/>
      <c r="I24" s="42"/>
      <c r="J24" s="4"/>
      <c r="L24" s="42" t="s">
        <v>90</v>
      </c>
      <c r="M24" s="42"/>
      <c r="N24" s="42"/>
      <c r="O24" s="4"/>
      <c r="Q24" s="42" t="s">
        <v>102</v>
      </c>
      <c r="R24" s="42"/>
      <c r="S24" s="42"/>
      <c r="V24" s="42" t="s">
        <v>105</v>
      </c>
      <c r="W24" s="42"/>
      <c r="X24" s="42"/>
      <c r="AA24" s="42" t="s">
        <v>149</v>
      </c>
      <c r="AB24" s="42"/>
      <c r="AC24" s="42"/>
      <c r="AF24" s="42" t="s">
        <v>158</v>
      </c>
      <c r="AG24" s="42"/>
      <c r="AH24" s="42"/>
      <c r="AK24" s="42" t="s">
        <v>158</v>
      </c>
      <c r="AL24" s="42"/>
      <c r="AM24" s="42"/>
    </row>
    <row r="25" spans="2:39" s="2" customFormat="1" x14ac:dyDescent="0.25">
      <c r="B25" s="2" t="s">
        <v>0</v>
      </c>
      <c r="C25" s="3"/>
      <c r="D25" s="3"/>
      <c r="E25" s="3"/>
      <c r="G25" s="2" t="s">
        <v>0</v>
      </c>
      <c r="H25" s="3"/>
      <c r="I25" s="3"/>
      <c r="J25" s="3"/>
      <c r="L25" s="2" t="s">
        <v>0</v>
      </c>
      <c r="M25" s="3"/>
      <c r="N25" s="3"/>
      <c r="O25" s="3"/>
      <c r="Q25" s="2" t="s">
        <v>0</v>
      </c>
      <c r="R25" s="3"/>
      <c r="S25" s="3"/>
      <c r="V25" s="2" t="s">
        <v>0</v>
      </c>
      <c r="W25" s="3"/>
      <c r="X25" s="3"/>
      <c r="AA25" s="2" t="s">
        <v>0</v>
      </c>
      <c r="AB25" s="3"/>
      <c r="AC25" s="3"/>
      <c r="AF25" s="2" t="s">
        <v>0</v>
      </c>
      <c r="AG25" s="3"/>
      <c r="AH25" s="3"/>
      <c r="AK25" s="2" t="s">
        <v>0</v>
      </c>
      <c r="AL25" s="3"/>
      <c r="AM25" s="3"/>
    </row>
    <row r="26" spans="2:39" x14ac:dyDescent="0.25">
      <c r="B26" t="s">
        <v>10</v>
      </c>
      <c r="D26" s="1">
        <v>86357548.25</v>
      </c>
      <c r="G26" t="s">
        <v>10</v>
      </c>
      <c r="H26" s="1"/>
      <c r="I26" s="1">
        <v>62723747</v>
      </c>
      <c r="J26" s="1"/>
      <c r="L26" t="s">
        <v>10</v>
      </c>
      <c r="M26" s="1"/>
      <c r="N26" s="1">
        <v>56990608.009999998</v>
      </c>
      <c r="O26" s="1"/>
      <c r="Q26" t="s">
        <v>10</v>
      </c>
      <c r="R26" s="1"/>
      <c r="S26" s="1">
        <v>74826072.5</v>
      </c>
      <c r="V26" t="s">
        <v>10</v>
      </c>
      <c r="W26" s="1"/>
      <c r="X26" s="1">
        <v>58468327</v>
      </c>
      <c r="AA26" t="s">
        <v>10</v>
      </c>
      <c r="AB26" s="1"/>
      <c r="AC26" s="1">
        <v>62757181</v>
      </c>
      <c r="AF26" t="s">
        <v>10</v>
      </c>
      <c r="AG26" s="1"/>
      <c r="AH26" s="1">
        <v>41604347</v>
      </c>
      <c r="AK26" t="s">
        <v>10</v>
      </c>
      <c r="AL26" s="1"/>
      <c r="AM26" s="1">
        <v>58501639.509999998</v>
      </c>
    </row>
    <row r="27" spans="2:39" x14ac:dyDescent="0.25">
      <c r="B27" t="s">
        <v>11</v>
      </c>
      <c r="C27" s="1">
        <v>8308581.2000000002</v>
      </c>
      <c r="G27" t="s">
        <v>11</v>
      </c>
      <c r="H27" s="1">
        <v>6820595</v>
      </c>
      <c r="I27" s="1"/>
      <c r="J27" s="1"/>
      <c r="L27" t="s">
        <v>11</v>
      </c>
      <c r="M27" s="1">
        <v>5149904</v>
      </c>
      <c r="N27" s="1"/>
      <c r="O27" s="1"/>
      <c r="Q27" t="s">
        <v>11</v>
      </c>
      <c r="R27" s="1">
        <v>8725755</v>
      </c>
      <c r="S27" s="1"/>
      <c r="V27" t="s">
        <v>11</v>
      </c>
      <c r="W27" s="1">
        <v>3474605</v>
      </c>
      <c r="X27" s="1"/>
      <c r="AA27" t="s">
        <v>11</v>
      </c>
      <c r="AB27" s="1">
        <v>4351875</v>
      </c>
      <c r="AC27" s="1"/>
      <c r="AF27" t="s">
        <v>11</v>
      </c>
      <c r="AG27" s="1">
        <v>3626054</v>
      </c>
      <c r="AH27" s="1"/>
      <c r="AK27" t="s">
        <v>11</v>
      </c>
      <c r="AL27" s="1">
        <v>8313258</v>
      </c>
      <c r="AM27" s="1"/>
    </row>
    <row r="28" spans="2:39" x14ac:dyDescent="0.25">
      <c r="B28" t="s">
        <v>12</v>
      </c>
      <c r="D28" s="1">
        <f>D26-C27</f>
        <v>78048967.049999997</v>
      </c>
      <c r="G28" t="s">
        <v>12</v>
      </c>
      <c r="H28" s="1"/>
      <c r="I28" s="1">
        <f>I26-H27</f>
        <v>55903152</v>
      </c>
      <c r="J28" s="1"/>
      <c r="L28" t="s">
        <v>12</v>
      </c>
      <c r="M28" s="1"/>
      <c r="N28" s="1">
        <f>N26-M27</f>
        <v>51840704.009999998</v>
      </c>
      <c r="O28" s="1"/>
      <c r="Q28" t="s">
        <v>12</v>
      </c>
      <c r="R28" s="1"/>
      <c r="S28" s="1">
        <f>S26-R27</f>
        <v>66100317.5</v>
      </c>
      <c r="V28" t="s">
        <v>12</v>
      </c>
      <c r="W28" s="1"/>
      <c r="X28" s="1">
        <f>X26-W27</f>
        <v>54993722</v>
      </c>
      <c r="AA28" t="s">
        <v>12</v>
      </c>
      <c r="AB28" s="1"/>
      <c r="AC28" s="1">
        <f>AC26-AB27</f>
        <v>58405306</v>
      </c>
      <c r="AF28" t="s">
        <v>12</v>
      </c>
      <c r="AG28" s="1"/>
      <c r="AH28" s="1">
        <f>AH26-AG27</f>
        <v>37978293</v>
      </c>
      <c r="AK28" t="s">
        <v>12</v>
      </c>
      <c r="AL28" s="1"/>
      <c r="AM28" s="1">
        <f>AM26-AL27</f>
        <v>50188381.509999998</v>
      </c>
    </row>
    <row r="29" spans="2:39" x14ac:dyDescent="0.25">
      <c r="B29" t="s">
        <v>13</v>
      </c>
      <c r="C29" s="1">
        <f>D17</f>
        <v>63274488.670000002</v>
      </c>
      <c r="G29" t="s">
        <v>13</v>
      </c>
      <c r="H29" s="1">
        <f>I17</f>
        <v>61426690</v>
      </c>
      <c r="I29" s="1"/>
      <c r="J29" s="1"/>
      <c r="L29" t="s">
        <v>13</v>
      </c>
      <c r="M29" s="1">
        <f>N17</f>
        <v>48479268.670000002</v>
      </c>
      <c r="N29" s="1"/>
      <c r="O29" s="1"/>
      <c r="Q29" t="s">
        <v>13</v>
      </c>
      <c r="R29" s="1">
        <f>S17</f>
        <v>61088762.00333333</v>
      </c>
      <c r="S29" s="1"/>
      <c r="V29" t="s">
        <v>13</v>
      </c>
      <c r="W29" s="1">
        <f>X17</f>
        <v>53470253</v>
      </c>
      <c r="X29" s="1"/>
      <c r="AA29" t="s">
        <v>13</v>
      </c>
      <c r="AB29" s="1">
        <f>AC17</f>
        <v>51418121.600000001</v>
      </c>
      <c r="AC29" s="1"/>
      <c r="AF29" t="s">
        <v>13</v>
      </c>
      <c r="AG29" s="1">
        <f>AH17</f>
        <v>26470468.600000001</v>
      </c>
      <c r="AH29" s="1"/>
      <c r="AK29" t="s">
        <v>13</v>
      </c>
      <c r="AL29" s="1">
        <f>AM17</f>
        <v>54082155.600000001</v>
      </c>
      <c r="AM29" s="1"/>
    </row>
    <row r="30" spans="2:39" x14ac:dyDescent="0.25">
      <c r="B30" t="s">
        <v>3</v>
      </c>
      <c r="C30" s="1">
        <v>0</v>
      </c>
      <c r="G30" t="s">
        <v>3</v>
      </c>
      <c r="H30" s="1">
        <v>0</v>
      </c>
      <c r="I30" s="1"/>
      <c r="J30" s="1"/>
      <c r="L30" t="s">
        <v>3</v>
      </c>
      <c r="M30" s="1">
        <v>0</v>
      </c>
      <c r="N30" s="1"/>
      <c r="O30" s="1"/>
      <c r="Q30" t="s">
        <v>3</v>
      </c>
      <c r="R30" s="1">
        <v>0</v>
      </c>
      <c r="S30" s="1"/>
      <c r="V30" t="s">
        <v>3</v>
      </c>
      <c r="W30" s="1">
        <v>0</v>
      </c>
      <c r="X30" s="1"/>
      <c r="AA30" t="s">
        <v>3</v>
      </c>
      <c r="AB30" s="1">
        <v>0</v>
      </c>
      <c r="AC30" s="1"/>
      <c r="AF30" t="s">
        <v>3</v>
      </c>
      <c r="AG30" s="1">
        <v>0</v>
      </c>
      <c r="AH30" s="1"/>
      <c r="AK30" t="s">
        <v>3</v>
      </c>
      <c r="AL30" s="1">
        <v>0</v>
      </c>
      <c r="AM30" s="1"/>
    </row>
    <row r="31" spans="2:39" x14ac:dyDescent="0.25">
      <c r="C31" s="1">
        <f>SUM(C29:C30)</f>
        <v>63274488.670000002</v>
      </c>
      <c r="H31" s="1">
        <f>SUM(H29:H30)</f>
        <v>61426690</v>
      </c>
      <c r="I31" s="1"/>
      <c r="J31" s="1"/>
      <c r="M31" s="1">
        <f>SUM(M29:M30)</f>
        <v>48479268.670000002</v>
      </c>
      <c r="N31" s="1"/>
      <c r="O31" s="1"/>
      <c r="R31" s="1">
        <f>SUM(R29:R30)</f>
        <v>61088762.00333333</v>
      </c>
      <c r="S31" s="1"/>
      <c r="W31" s="1">
        <f>SUM(W29:W30)</f>
        <v>53470253</v>
      </c>
      <c r="X31" s="1"/>
      <c r="AB31" s="1">
        <f>SUM(AB29:AB30)</f>
        <v>51418121.600000001</v>
      </c>
      <c r="AC31" s="1"/>
      <c r="AG31" s="1">
        <f>SUM(AG29:AG30)</f>
        <v>26470468.600000001</v>
      </c>
      <c r="AH31" s="1"/>
      <c r="AL31" s="1">
        <f>SUM(AL29:AL30)</f>
        <v>54082155.600000001</v>
      </c>
      <c r="AM31" s="1"/>
    </row>
    <row r="32" spans="2:39" s="2" customFormat="1" x14ac:dyDescent="0.25">
      <c r="B32" s="2" t="s">
        <v>14</v>
      </c>
      <c r="C32" s="3"/>
      <c r="D32" s="3">
        <f>D28-C31</f>
        <v>14774478.379999995</v>
      </c>
      <c r="E32" s="3"/>
      <c r="G32" s="2" t="s">
        <v>14</v>
      </c>
      <c r="H32" s="3"/>
      <c r="I32" s="3">
        <f>I28-H31</f>
        <v>-5523538</v>
      </c>
      <c r="J32" s="3"/>
      <c r="L32" s="2" t="s">
        <v>14</v>
      </c>
      <c r="M32" s="3"/>
      <c r="N32" s="3">
        <f>N28-M31</f>
        <v>3361435.3399999961</v>
      </c>
      <c r="O32" s="3"/>
      <c r="Q32" s="2" t="s">
        <v>14</v>
      </c>
      <c r="R32" s="3"/>
      <c r="S32" s="3">
        <f>S28-R31</f>
        <v>5011555.4966666698</v>
      </c>
      <c r="V32" s="2" t="s">
        <v>14</v>
      </c>
      <c r="W32" s="3"/>
      <c r="X32" s="3">
        <f>X28-W31</f>
        <v>1523469</v>
      </c>
      <c r="AA32" s="2" t="s">
        <v>14</v>
      </c>
      <c r="AB32" s="3"/>
      <c r="AC32" s="3">
        <f>AC28-AB31</f>
        <v>6987184.3999999985</v>
      </c>
      <c r="AF32" s="2" t="s">
        <v>14</v>
      </c>
      <c r="AG32" s="3"/>
      <c r="AH32" s="3">
        <f>AH28-AG31</f>
        <v>11507824.399999999</v>
      </c>
      <c r="AK32" s="2" t="s">
        <v>14</v>
      </c>
      <c r="AL32" s="3"/>
      <c r="AM32" s="3">
        <f>AM28-AL31</f>
        <v>-3893774.0900000036</v>
      </c>
    </row>
    <row r="33" spans="2:39" x14ac:dyDescent="0.25">
      <c r="H33" s="1"/>
      <c r="I33" s="1"/>
      <c r="J33" s="1"/>
      <c r="M33" s="1"/>
      <c r="N33" s="1"/>
      <c r="O33" s="1"/>
      <c r="R33" s="1"/>
      <c r="S33" s="1"/>
      <c r="W33" s="1"/>
      <c r="X33" s="1"/>
      <c r="AB33" s="1"/>
      <c r="AC33" s="1"/>
      <c r="AG33" s="1"/>
      <c r="AH33" s="1"/>
      <c r="AL33" s="1"/>
      <c r="AM33" s="1"/>
    </row>
    <row r="34" spans="2:39" s="2" customFormat="1" x14ac:dyDescent="0.25">
      <c r="B34" s="2" t="s">
        <v>15</v>
      </c>
      <c r="C34" s="3"/>
      <c r="D34" s="3"/>
      <c r="E34" s="3"/>
      <c r="G34" s="2" t="s">
        <v>15</v>
      </c>
      <c r="H34" s="3"/>
      <c r="I34" s="3"/>
      <c r="J34" s="3"/>
      <c r="L34" s="2" t="s">
        <v>15</v>
      </c>
      <c r="M34" s="3" t="s">
        <v>92</v>
      </c>
      <c r="N34" s="3"/>
      <c r="O34" s="3"/>
      <c r="Q34" s="2" t="s">
        <v>15</v>
      </c>
      <c r="R34" s="3" t="s">
        <v>92</v>
      </c>
      <c r="S34" s="3"/>
      <c r="V34" s="2" t="s">
        <v>15</v>
      </c>
      <c r="W34" s="3" t="s">
        <v>92</v>
      </c>
      <c r="X34" s="3"/>
      <c r="AA34" s="2" t="s">
        <v>15</v>
      </c>
      <c r="AB34" s="3" t="s">
        <v>92</v>
      </c>
      <c r="AC34" s="3"/>
      <c r="AF34" s="2" t="s">
        <v>15</v>
      </c>
      <c r="AG34" s="3" t="s">
        <v>92</v>
      </c>
      <c r="AH34" s="3"/>
      <c r="AK34" s="2" t="s">
        <v>15</v>
      </c>
      <c r="AL34" s="3" t="s">
        <v>92</v>
      </c>
      <c r="AM34" s="3"/>
    </row>
    <row r="35" spans="2:39" x14ac:dyDescent="0.25">
      <c r="B35" t="s">
        <v>16</v>
      </c>
      <c r="C35" s="1">
        <v>56000</v>
      </c>
      <c r="G35" t="s">
        <v>16</v>
      </c>
      <c r="H35" s="1">
        <v>15000</v>
      </c>
      <c r="I35" s="1"/>
      <c r="J35" s="1"/>
      <c r="L35" t="s">
        <v>16</v>
      </c>
      <c r="M35" s="1">
        <v>10000</v>
      </c>
      <c r="N35" s="1"/>
      <c r="O35" s="1"/>
      <c r="Q35" t="s">
        <v>16</v>
      </c>
      <c r="R35" s="1">
        <v>62000</v>
      </c>
      <c r="S35" s="1"/>
      <c r="V35" t="s">
        <v>16</v>
      </c>
      <c r="W35" s="1">
        <v>195000</v>
      </c>
      <c r="X35" s="1"/>
      <c r="AA35" t="s">
        <v>16</v>
      </c>
      <c r="AB35" s="1">
        <v>27500</v>
      </c>
      <c r="AC35" s="1"/>
      <c r="AF35" t="s">
        <v>16</v>
      </c>
      <c r="AG35" s="1">
        <v>204700</v>
      </c>
      <c r="AH35" s="1"/>
      <c r="AK35" t="s">
        <v>16</v>
      </c>
      <c r="AL35" s="1">
        <v>0</v>
      </c>
      <c r="AM35" s="1"/>
    </row>
    <row r="36" spans="2:39" x14ac:dyDescent="0.25">
      <c r="B36" t="s">
        <v>17</v>
      </c>
      <c r="C36" s="1">
        <v>526921.13</v>
      </c>
      <c r="G36" t="s">
        <v>17</v>
      </c>
      <c r="H36" s="1">
        <v>584847</v>
      </c>
      <c r="I36" s="1"/>
      <c r="J36" s="1"/>
      <c r="L36" t="s">
        <v>17</v>
      </c>
      <c r="M36" s="1">
        <v>536556.80000000005</v>
      </c>
      <c r="N36" s="1"/>
      <c r="O36" s="1"/>
      <c r="Q36" t="s">
        <v>17</v>
      </c>
      <c r="R36" s="1">
        <v>398065.6</v>
      </c>
      <c r="S36" s="1"/>
      <c r="V36" t="s">
        <v>17</v>
      </c>
      <c r="W36" s="1">
        <v>398065</v>
      </c>
      <c r="X36" s="1"/>
      <c r="AA36" t="s">
        <v>17</v>
      </c>
      <c r="AB36" s="1">
        <v>313878.67</v>
      </c>
      <c r="AC36" s="1"/>
      <c r="AF36" t="s">
        <v>17</v>
      </c>
      <c r="AG36" s="1">
        <v>313878.67</v>
      </c>
      <c r="AH36" s="1"/>
      <c r="AK36" t="s">
        <v>17</v>
      </c>
      <c r="AL36" s="1">
        <v>313878.67</v>
      </c>
      <c r="AM36" s="1"/>
    </row>
    <row r="37" spans="2:39" x14ac:dyDescent="0.25">
      <c r="B37" t="s">
        <v>18</v>
      </c>
      <c r="C37" s="1">
        <v>126939.29</v>
      </c>
      <c r="G37" t="s">
        <v>18</v>
      </c>
      <c r="H37" s="1">
        <v>0</v>
      </c>
      <c r="I37" s="1"/>
      <c r="J37" s="1"/>
      <c r="L37" t="s">
        <v>18</v>
      </c>
      <c r="M37" s="1">
        <v>73004.69</v>
      </c>
      <c r="N37" s="1"/>
      <c r="O37" s="1"/>
      <c r="Q37" t="s">
        <v>18</v>
      </c>
      <c r="R37" s="1">
        <v>82076.990000000005</v>
      </c>
      <c r="S37" s="1"/>
      <c r="V37" t="s">
        <v>18</v>
      </c>
      <c r="W37" s="1">
        <v>45702.39</v>
      </c>
      <c r="X37" s="1"/>
      <c r="AA37" t="s">
        <v>18</v>
      </c>
      <c r="AB37" s="1">
        <v>78074.19</v>
      </c>
      <c r="AC37" s="1"/>
      <c r="AF37" t="s">
        <v>18</v>
      </c>
      <c r="AG37" s="1">
        <v>46724.7</v>
      </c>
      <c r="AH37" s="1"/>
      <c r="AK37" t="s">
        <v>18</v>
      </c>
      <c r="AL37" s="1">
        <v>25873.35</v>
      </c>
      <c r="AM37" s="1"/>
    </row>
    <row r="38" spans="2:39" x14ac:dyDescent="0.25">
      <c r="B38" t="s">
        <v>19</v>
      </c>
      <c r="C38" s="1">
        <v>47000</v>
      </c>
      <c r="G38" t="s">
        <v>19</v>
      </c>
      <c r="H38" s="1">
        <v>652200</v>
      </c>
      <c r="I38" s="1"/>
      <c r="J38" s="1"/>
      <c r="L38" t="s">
        <v>19</v>
      </c>
      <c r="M38" s="1">
        <v>300675</v>
      </c>
      <c r="N38" s="1"/>
      <c r="O38" s="1"/>
      <c r="Q38" t="s">
        <v>19</v>
      </c>
      <c r="R38" s="1">
        <v>69300</v>
      </c>
      <c r="S38" s="1"/>
      <c r="V38" t="s">
        <v>19</v>
      </c>
      <c r="W38" s="1">
        <v>119400</v>
      </c>
      <c r="X38" s="1"/>
      <c r="AA38" t="s">
        <v>19</v>
      </c>
      <c r="AB38" s="1">
        <v>76200</v>
      </c>
      <c r="AC38" s="1"/>
      <c r="AF38" t="s">
        <v>19</v>
      </c>
      <c r="AG38" s="1">
        <v>91900</v>
      </c>
      <c r="AH38" s="1"/>
      <c r="AK38" t="s">
        <v>19</v>
      </c>
      <c r="AL38" s="1">
        <v>224000</v>
      </c>
      <c r="AM38" s="1"/>
    </row>
    <row r="39" spans="2:39" x14ac:dyDescent="0.25">
      <c r="B39" t="s">
        <v>20</v>
      </c>
      <c r="C39" s="1">
        <v>230000</v>
      </c>
      <c r="G39" t="s">
        <v>20</v>
      </c>
      <c r="H39" s="1">
        <v>290000</v>
      </c>
      <c r="I39" s="1"/>
      <c r="J39" s="1"/>
      <c r="L39" t="s">
        <v>20</v>
      </c>
      <c r="M39" s="1">
        <v>0</v>
      </c>
      <c r="N39" s="1"/>
      <c r="O39" s="1"/>
      <c r="Q39" t="s">
        <v>20</v>
      </c>
      <c r="R39" s="1">
        <v>50000</v>
      </c>
      <c r="S39" s="1"/>
      <c r="V39" t="s">
        <v>20</v>
      </c>
      <c r="W39" s="1">
        <v>0</v>
      </c>
      <c r="X39" s="1"/>
      <c r="AA39" t="s">
        <v>20</v>
      </c>
      <c r="AB39" s="1">
        <v>0</v>
      </c>
      <c r="AC39" s="1"/>
      <c r="AF39" t="s">
        <v>20</v>
      </c>
      <c r="AG39" s="1">
        <v>150000</v>
      </c>
      <c r="AH39" s="1"/>
      <c r="AK39" t="s">
        <v>20</v>
      </c>
      <c r="AL39" s="1">
        <v>20000</v>
      </c>
      <c r="AM39" s="1"/>
    </row>
    <row r="40" spans="2:39" x14ac:dyDescent="0.25">
      <c r="B40" t="s">
        <v>21</v>
      </c>
      <c r="C40" s="1">
        <v>386302.31</v>
      </c>
      <c r="G40" t="s">
        <v>21</v>
      </c>
      <c r="H40" s="1">
        <v>176064.93</v>
      </c>
      <c r="I40" s="1"/>
      <c r="J40" s="1"/>
      <c r="L40" t="s">
        <v>21</v>
      </c>
      <c r="M40" s="1">
        <v>170000</v>
      </c>
      <c r="N40" s="1"/>
      <c r="O40" s="1"/>
      <c r="Q40" t="s">
        <v>21</v>
      </c>
      <c r="R40" s="1">
        <v>170000</v>
      </c>
      <c r="S40" s="1"/>
      <c r="V40" t="s">
        <v>21</v>
      </c>
      <c r="W40" s="1">
        <v>540577</v>
      </c>
      <c r="X40" s="1"/>
      <c r="AA40" t="s">
        <v>21</v>
      </c>
      <c r="AB40" s="1">
        <v>0</v>
      </c>
      <c r="AC40" s="1"/>
      <c r="AF40" t="s">
        <v>21</v>
      </c>
      <c r="AG40" s="1">
        <v>197000</v>
      </c>
      <c r="AH40" s="1"/>
      <c r="AK40" t="s">
        <v>21</v>
      </c>
      <c r="AL40" s="1">
        <v>5420000</v>
      </c>
      <c r="AM40" s="1"/>
    </row>
    <row r="41" spans="2:39" x14ac:dyDescent="0.25">
      <c r="B41" t="s">
        <v>22</v>
      </c>
      <c r="C41" s="1">
        <v>0</v>
      </c>
      <c r="G41" t="s">
        <v>22</v>
      </c>
      <c r="H41" s="1">
        <v>0</v>
      </c>
      <c r="I41" s="1"/>
      <c r="J41" s="1"/>
      <c r="L41" t="s">
        <v>22</v>
      </c>
      <c r="M41" s="1">
        <v>0</v>
      </c>
      <c r="N41" s="1"/>
      <c r="O41" s="1"/>
      <c r="Q41" t="s">
        <v>22</v>
      </c>
      <c r="R41" s="1">
        <v>0</v>
      </c>
      <c r="S41" s="1"/>
      <c r="V41" t="s">
        <v>22</v>
      </c>
      <c r="W41" s="1">
        <v>0</v>
      </c>
      <c r="X41" s="1"/>
      <c r="AA41" t="s">
        <v>22</v>
      </c>
      <c r="AB41" s="1">
        <v>0</v>
      </c>
      <c r="AC41" s="1"/>
      <c r="AF41" t="s">
        <v>22</v>
      </c>
      <c r="AG41" s="1">
        <v>0</v>
      </c>
      <c r="AH41" s="1"/>
      <c r="AK41" t="s">
        <v>22</v>
      </c>
      <c r="AL41" s="1">
        <v>52130</v>
      </c>
      <c r="AM41" s="1"/>
    </row>
    <row r="42" spans="2:39" x14ac:dyDescent="0.25">
      <c r="B42" t="s">
        <v>23</v>
      </c>
      <c r="C42" s="1">
        <v>60000</v>
      </c>
      <c r="G42" t="s">
        <v>23</v>
      </c>
      <c r="H42" s="1">
        <v>60000</v>
      </c>
      <c r="I42" s="1"/>
      <c r="J42" s="1"/>
      <c r="L42" t="s">
        <v>23</v>
      </c>
      <c r="M42" s="1">
        <v>40000</v>
      </c>
      <c r="N42" s="1"/>
      <c r="O42" s="1"/>
      <c r="Q42" t="s">
        <v>23</v>
      </c>
      <c r="R42" s="1">
        <v>25000</v>
      </c>
      <c r="S42" s="1"/>
      <c r="V42" t="s">
        <v>23</v>
      </c>
      <c r="W42" s="1">
        <v>25000</v>
      </c>
      <c r="X42" s="1"/>
      <c r="AA42" t="s">
        <v>23</v>
      </c>
      <c r="AB42" s="1">
        <v>25000</v>
      </c>
      <c r="AC42" s="1"/>
      <c r="AF42" t="s">
        <v>23</v>
      </c>
      <c r="AG42" s="1">
        <v>25000</v>
      </c>
      <c r="AH42" s="1"/>
      <c r="AK42" t="s">
        <v>23</v>
      </c>
      <c r="AL42" s="1">
        <v>25000</v>
      </c>
      <c r="AM42" s="1"/>
    </row>
    <row r="43" spans="2:39" x14ac:dyDescent="0.25">
      <c r="B43" t="s">
        <v>69</v>
      </c>
      <c r="C43" s="1">
        <v>0</v>
      </c>
      <c r="G43" t="s">
        <v>69</v>
      </c>
      <c r="H43" s="1">
        <v>0</v>
      </c>
      <c r="I43" s="1"/>
      <c r="J43" s="1"/>
      <c r="L43" t="s">
        <v>69</v>
      </c>
      <c r="M43" s="1">
        <v>0</v>
      </c>
      <c r="N43" s="1"/>
      <c r="O43" s="1"/>
      <c r="Q43" t="s">
        <v>69</v>
      </c>
      <c r="R43" s="1">
        <v>0</v>
      </c>
      <c r="S43" s="1"/>
      <c r="V43" t="s">
        <v>69</v>
      </c>
      <c r="W43" s="1">
        <v>0</v>
      </c>
      <c r="X43" s="1"/>
      <c r="AA43" t="s">
        <v>69</v>
      </c>
      <c r="AB43" s="1">
        <v>0</v>
      </c>
      <c r="AC43" s="1"/>
      <c r="AF43" t="s">
        <v>69</v>
      </c>
      <c r="AG43" s="1">
        <v>0</v>
      </c>
      <c r="AH43" s="1"/>
      <c r="AK43" t="s">
        <v>69</v>
      </c>
      <c r="AL43" s="1">
        <v>0</v>
      </c>
      <c r="AM43" s="1"/>
    </row>
    <row r="44" spans="2:39" x14ac:dyDescent="0.25">
      <c r="B44" t="s">
        <v>24</v>
      </c>
      <c r="C44" s="1">
        <v>0</v>
      </c>
      <c r="G44" t="s">
        <v>24</v>
      </c>
      <c r="H44" s="1">
        <v>0</v>
      </c>
      <c r="I44" s="1"/>
      <c r="J44" s="1"/>
      <c r="L44" t="s">
        <v>24</v>
      </c>
      <c r="M44" s="1">
        <v>0</v>
      </c>
      <c r="N44" s="1"/>
      <c r="O44" s="1"/>
      <c r="Q44" t="s">
        <v>24</v>
      </c>
      <c r="R44" s="1">
        <v>0</v>
      </c>
      <c r="S44" s="1"/>
      <c r="V44" t="s">
        <v>24</v>
      </c>
      <c r="W44" s="1">
        <v>0</v>
      </c>
      <c r="X44" s="1"/>
      <c r="AA44" t="s">
        <v>24</v>
      </c>
      <c r="AB44" s="1">
        <v>0</v>
      </c>
      <c r="AC44" s="1"/>
      <c r="AF44" t="s">
        <v>24</v>
      </c>
      <c r="AG44" s="1">
        <v>0</v>
      </c>
      <c r="AH44" s="1"/>
      <c r="AK44" t="s">
        <v>24</v>
      </c>
      <c r="AL44" s="1">
        <v>473000</v>
      </c>
      <c r="AM44" s="1"/>
    </row>
    <row r="45" spans="2:39" x14ac:dyDescent="0.25">
      <c r="B45" t="s">
        <v>25</v>
      </c>
      <c r="C45" s="1">
        <v>0</v>
      </c>
      <c r="G45" t="s">
        <v>25</v>
      </c>
      <c r="H45" s="1">
        <v>0</v>
      </c>
      <c r="I45" s="1"/>
      <c r="J45" s="1"/>
      <c r="L45" t="s">
        <v>25</v>
      </c>
      <c r="M45" s="1">
        <v>0</v>
      </c>
      <c r="N45" s="1"/>
      <c r="O45" s="1"/>
      <c r="Q45" t="s">
        <v>25</v>
      </c>
      <c r="R45" s="1">
        <v>0</v>
      </c>
      <c r="S45" s="1"/>
      <c r="V45" t="s">
        <v>25</v>
      </c>
      <c r="W45" s="1">
        <v>0</v>
      </c>
      <c r="X45" s="1"/>
      <c r="AA45" t="s">
        <v>25</v>
      </c>
      <c r="AB45" s="1">
        <v>0</v>
      </c>
      <c r="AC45" s="1"/>
      <c r="AF45" t="s">
        <v>25</v>
      </c>
      <c r="AG45" s="1">
        <v>0</v>
      </c>
      <c r="AH45" s="1"/>
      <c r="AK45" t="s">
        <v>25</v>
      </c>
      <c r="AL45" s="1">
        <v>0</v>
      </c>
      <c r="AM45" s="1"/>
    </row>
    <row r="46" spans="2:39" x14ac:dyDescent="0.25">
      <c r="C46" s="1">
        <f>SUM(C35:C45)</f>
        <v>1433162.73</v>
      </c>
      <c r="H46" s="1">
        <f>SUM(H35:H45)</f>
        <v>1778111.93</v>
      </c>
      <c r="I46" s="1"/>
      <c r="J46" s="1"/>
      <c r="M46" s="1">
        <f>SUM(M35:M45)</f>
        <v>1130236.49</v>
      </c>
      <c r="N46" s="1"/>
      <c r="O46" s="1"/>
      <c r="R46" s="1">
        <f>SUM(R35:R45)</f>
        <v>856442.59</v>
      </c>
      <c r="S46" s="1"/>
      <c r="W46" s="1">
        <f>SUM(W35:W45)</f>
        <v>1323744.3900000001</v>
      </c>
      <c r="X46" s="1"/>
      <c r="AB46" s="1">
        <f>SUM(AB35:AB45)</f>
        <v>520652.86</v>
      </c>
      <c r="AC46" s="1"/>
      <c r="AG46" s="1">
        <f>SUM(AG35:AG45)</f>
        <v>1029203.37</v>
      </c>
      <c r="AH46" s="1"/>
      <c r="AL46" s="1">
        <f>SUM(AL35:AL45)</f>
        <v>6553882.0199999996</v>
      </c>
      <c r="AM46" s="1"/>
    </row>
    <row r="47" spans="2:39" s="2" customFormat="1" x14ac:dyDescent="0.25">
      <c r="B47" s="2" t="s">
        <v>26</v>
      </c>
      <c r="C47" s="3"/>
      <c r="D47" s="3">
        <f>D32-C46</f>
        <v>13341315.649999995</v>
      </c>
      <c r="E47" s="3"/>
      <c r="G47" s="2" t="s">
        <v>26</v>
      </c>
      <c r="H47" s="3"/>
      <c r="I47" s="3">
        <f>I32-H46</f>
        <v>-7301649.9299999997</v>
      </c>
      <c r="J47" s="3"/>
      <c r="L47" s="2" t="s">
        <v>26</v>
      </c>
      <c r="M47" s="3"/>
      <c r="N47" s="3">
        <f>N32-M46</f>
        <v>2231198.8499999959</v>
      </c>
      <c r="O47" s="3"/>
      <c r="Q47" s="2" t="s">
        <v>26</v>
      </c>
      <c r="R47" s="3"/>
      <c r="S47" s="3">
        <f>S32-R46</f>
        <v>4155112.90666667</v>
      </c>
      <c r="V47" s="2" t="s">
        <v>26</v>
      </c>
      <c r="W47" s="3"/>
      <c r="X47" s="3">
        <f>X32-W46</f>
        <v>199724.60999999987</v>
      </c>
      <c r="AA47" s="2" t="s">
        <v>26</v>
      </c>
      <c r="AB47" s="3"/>
      <c r="AC47" s="3">
        <f>AC32-AB46</f>
        <v>6466531.5399999982</v>
      </c>
      <c r="AF47" s="2" t="s">
        <v>26</v>
      </c>
      <c r="AG47" s="3"/>
      <c r="AH47" s="3">
        <f>AH32-AG46</f>
        <v>10478621.029999999</v>
      </c>
      <c r="AK47" s="2" t="s">
        <v>26</v>
      </c>
      <c r="AL47" s="3"/>
      <c r="AM47" s="3">
        <f>AM32-AL46</f>
        <v>-10447656.110000003</v>
      </c>
    </row>
    <row r="48" spans="2:39" x14ac:dyDescent="0.25">
      <c r="H48" s="1"/>
      <c r="I48" s="1"/>
      <c r="J48" s="1"/>
      <c r="M48" s="1"/>
      <c r="N48" s="1"/>
      <c r="O48" s="1"/>
      <c r="R48" s="1"/>
      <c r="S48" s="1"/>
      <c r="W48" s="1"/>
      <c r="X48" s="1"/>
      <c r="AB48" s="1"/>
      <c r="AC48" s="1"/>
      <c r="AG48" s="1"/>
      <c r="AH48" s="1"/>
      <c r="AL48" s="1"/>
      <c r="AM48" s="1"/>
    </row>
    <row r="49" spans="2:41" x14ac:dyDescent="0.25">
      <c r="B49" t="s">
        <v>68</v>
      </c>
      <c r="C49" s="1">
        <v>400000</v>
      </c>
      <c r="G49" t="s">
        <v>68</v>
      </c>
      <c r="H49" s="1">
        <v>800000</v>
      </c>
      <c r="I49" s="1"/>
      <c r="J49" s="1"/>
      <c r="L49" t="s">
        <v>68</v>
      </c>
      <c r="M49" s="1">
        <v>0</v>
      </c>
      <c r="N49" s="1"/>
      <c r="O49" s="1"/>
      <c r="Q49" t="s">
        <v>68</v>
      </c>
      <c r="R49" s="1">
        <v>800000</v>
      </c>
      <c r="S49" s="1"/>
      <c r="V49" t="s">
        <v>68</v>
      </c>
      <c r="W49" s="1">
        <v>1100000</v>
      </c>
      <c r="X49" s="1"/>
      <c r="AA49" t="s">
        <v>68</v>
      </c>
      <c r="AB49" s="1">
        <v>600000</v>
      </c>
      <c r="AC49" s="1"/>
      <c r="AF49" t="s">
        <v>68</v>
      </c>
      <c r="AG49" s="1">
        <v>600000</v>
      </c>
      <c r="AH49" s="1"/>
      <c r="AK49" t="s">
        <v>68</v>
      </c>
      <c r="AL49" s="1">
        <v>600000</v>
      </c>
      <c r="AM49" s="1"/>
    </row>
    <row r="50" spans="2:41" x14ac:dyDescent="0.25">
      <c r="B50" t="s">
        <v>27</v>
      </c>
      <c r="C50" s="1">
        <v>41800</v>
      </c>
      <c r="G50" t="s">
        <v>27</v>
      </c>
      <c r="H50" s="1">
        <v>170000</v>
      </c>
      <c r="I50" s="1"/>
      <c r="J50" s="1"/>
      <c r="L50" t="s">
        <v>27</v>
      </c>
      <c r="M50" s="1">
        <v>31000</v>
      </c>
      <c r="N50" s="1"/>
      <c r="O50" s="1"/>
      <c r="Q50" t="s">
        <v>27</v>
      </c>
      <c r="R50" s="1">
        <v>118500</v>
      </c>
      <c r="S50" s="1"/>
      <c r="V50" t="s">
        <v>27</v>
      </c>
      <c r="W50" s="1">
        <v>413500</v>
      </c>
      <c r="X50" s="1"/>
      <c r="AA50" t="s">
        <v>27</v>
      </c>
      <c r="AB50" s="1">
        <v>41500</v>
      </c>
      <c r="AC50" s="1"/>
      <c r="AF50" t="s">
        <v>27</v>
      </c>
      <c r="AG50" s="1">
        <v>148000</v>
      </c>
      <c r="AH50" s="1"/>
      <c r="AK50" t="s">
        <v>27</v>
      </c>
      <c r="AL50" s="1">
        <v>63000</v>
      </c>
      <c r="AM50" s="1"/>
    </row>
    <row r="51" spans="2:41" x14ac:dyDescent="0.25">
      <c r="B51" t="s">
        <v>28</v>
      </c>
      <c r="C51" s="1">
        <v>86000</v>
      </c>
      <c r="G51" t="s">
        <v>28</v>
      </c>
      <c r="H51" s="1">
        <v>40000</v>
      </c>
      <c r="I51" s="1"/>
      <c r="J51" s="1"/>
      <c r="L51" t="s">
        <v>28</v>
      </c>
      <c r="M51" s="1">
        <v>816000</v>
      </c>
      <c r="N51" s="1"/>
      <c r="O51" s="1"/>
      <c r="Q51" t="s">
        <v>28</v>
      </c>
      <c r="R51" s="1">
        <v>230000</v>
      </c>
      <c r="S51" s="1"/>
      <c r="V51" t="s">
        <v>28</v>
      </c>
      <c r="W51" s="1">
        <v>564200</v>
      </c>
      <c r="X51" s="1"/>
      <c r="AA51" t="s">
        <v>152</v>
      </c>
      <c r="AB51" s="1">
        <v>302000</v>
      </c>
      <c r="AC51" s="1"/>
      <c r="AF51" t="s">
        <v>152</v>
      </c>
      <c r="AG51" s="1">
        <v>151000</v>
      </c>
      <c r="AH51" s="1"/>
      <c r="AK51" t="s">
        <v>152</v>
      </c>
      <c r="AL51" s="1">
        <v>10000</v>
      </c>
      <c r="AM51" s="1"/>
    </row>
    <row r="52" spans="2:41" x14ac:dyDescent="0.25">
      <c r="C52" s="1">
        <f>SUM(C49:C51)</f>
        <v>527800</v>
      </c>
      <c r="H52" s="1">
        <f>SUM(H49:H51)</f>
        <v>1010000</v>
      </c>
      <c r="I52" s="1"/>
      <c r="J52" s="1"/>
      <c r="M52" s="1">
        <f>SUM(M49:M51)</f>
        <v>847000</v>
      </c>
      <c r="N52" s="1"/>
      <c r="O52" s="1"/>
      <c r="R52" s="1">
        <f>SUM(R49:R51)</f>
        <v>1148500</v>
      </c>
      <c r="S52" s="1"/>
      <c r="W52" s="1">
        <f>SUM(W49:W51)</f>
        <v>2077700</v>
      </c>
      <c r="X52" s="1"/>
      <c r="AA52" t="s">
        <v>28</v>
      </c>
      <c r="AB52" s="1">
        <v>134500</v>
      </c>
      <c r="AC52" s="1"/>
      <c r="AF52" t="s">
        <v>28</v>
      </c>
      <c r="AG52" s="1">
        <v>41000</v>
      </c>
      <c r="AH52" s="1"/>
      <c r="AK52" t="s">
        <v>28</v>
      </c>
      <c r="AL52" s="1">
        <v>41000</v>
      </c>
      <c r="AM52" s="1"/>
    </row>
    <row r="53" spans="2:41" s="2" customFormat="1" x14ac:dyDescent="0.25">
      <c r="C53" s="3"/>
      <c r="D53" s="3">
        <f>D47-C52</f>
        <v>12813515.649999995</v>
      </c>
      <c r="E53" s="3"/>
      <c r="H53" s="3"/>
      <c r="I53" s="3">
        <f>I47-H52</f>
        <v>-8311649.9299999997</v>
      </c>
      <c r="J53" s="3"/>
      <c r="M53" s="3"/>
      <c r="N53" s="3">
        <f>N47-M52</f>
        <v>1384198.8499999959</v>
      </c>
      <c r="O53" s="3"/>
      <c r="R53" s="3"/>
      <c r="S53" s="3">
        <f>S47-R52</f>
        <v>3006612.90666667</v>
      </c>
      <c r="W53" s="3"/>
      <c r="X53" s="3">
        <f>X47-W52</f>
        <v>-1877975.3900000001</v>
      </c>
      <c r="AA53"/>
      <c r="AB53" s="1">
        <f>SUM(AB49:AB52)</f>
        <v>1078000</v>
      </c>
      <c r="AC53" s="1"/>
      <c r="AF53"/>
      <c r="AG53" s="1">
        <f>SUM(AG49:AG52)</f>
        <v>940000</v>
      </c>
      <c r="AH53" s="1"/>
      <c r="AK53"/>
      <c r="AL53" s="1">
        <f>SUM(AL49:AL52)</f>
        <v>714000</v>
      </c>
      <c r="AM53" s="1"/>
    </row>
    <row r="54" spans="2:41" x14ac:dyDescent="0.25">
      <c r="H54" s="1"/>
      <c r="I54" s="1"/>
      <c r="J54" s="1"/>
      <c r="M54" s="1"/>
      <c r="N54" s="1"/>
      <c r="O54" s="1"/>
      <c r="R54" s="1"/>
      <c r="S54" s="1"/>
      <c r="W54" s="1"/>
      <c r="X54" s="1"/>
      <c r="AA54" s="2"/>
      <c r="AB54" s="3"/>
      <c r="AC54" s="3">
        <f>AC47-AB53</f>
        <v>5388531.5399999982</v>
      </c>
      <c r="AF54" s="2"/>
      <c r="AG54" s="3"/>
      <c r="AH54" s="3">
        <f>AH47-AG53</f>
        <v>9538621.0299999993</v>
      </c>
      <c r="AK54" s="2"/>
      <c r="AL54" s="3"/>
      <c r="AM54" s="3">
        <f>AM47-AL53</f>
        <v>-11161656.110000003</v>
      </c>
      <c r="AO54" s="1">
        <f>SUM(D53,I53,N53,S53,X53,AC54,AH54,AM54)</f>
        <v>10780198.546666656</v>
      </c>
    </row>
    <row r="55" spans="2:41" x14ac:dyDescent="0.25">
      <c r="H55" s="1"/>
      <c r="I55" s="1"/>
      <c r="J55" s="1"/>
      <c r="M55" s="1"/>
      <c r="N55" s="1"/>
      <c r="O55" s="1"/>
      <c r="R55" s="1"/>
      <c r="S55" s="1"/>
      <c r="W55" s="1"/>
      <c r="X55" s="1"/>
      <c r="AB55" s="1"/>
      <c r="AC55" s="1"/>
      <c r="AG55" s="1"/>
      <c r="AH55" s="1"/>
      <c r="AL55" s="1"/>
      <c r="AM55" s="1"/>
    </row>
    <row r="56" spans="2:41" x14ac:dyDescent="0.25">
      <c r="H56" s="1"/>
      <c r="I56" s="1"/>
      <c r="J56" s="1"/>
      <c r="M56" s="1"/>
      <c r="N56" s="1"/>
      <c r="O56" s="1"/>
      <c r="R56" s="1"/>
      <c r="S56" s="1"/>
      <c r="W56" s="1"/>
      <c r="X56" s="1"/>
      <c r="AB56" s="1"/>
      <c r="AC56" s="1"/>
      <c r="AG56" s="1"/>
      <c r="AH56" s="1"/>
      <c r="AL56" s="1"/>
      <c r="AM56" s="1"/>
    </row>
    <row r="57" spans="2:41" x14ac:dyDescent="0.25">
      <c r="H57" s="1"/>
      <c r="I57" s="1"/>
      <c r="J57" s="1"/>
      <c r="M57" s="1"/>
      <c r="N57" s="1"/>
      <c r="O57" s="1"/>
      <c r="R57" s="1"/>
      <c r="S57" s="1"/>
      <c r="W57" s="1"/>
      <c r="X57" s="1"/>
      <c r="AB57" s="1"/>
      <c r="AC57" s="1"/>
      <c r="AG57" s="1"/>
      <c r="AH57" s="1"/>
      <c r="AL57" s="1"/>
      <c r="AM57" s="1"/>
    </row>
    <row r="58" spans="2:41" x14ac:dyDescent="0.25">
      <c r="H58" s="1"/>
      <c r="I58" s="1"/>
      <c r="J58" s="1"/>
      <c r="M58" s="1"/>
      <c r="N58" s="1"/>
      <c r="O58" s="1"/>
      <c r="R58" s="1"/>
      <c r="S58" s="1"/>
      <c r="W58" s="1"/>
      <c r="X58" s="1"/>
      <c r="AB58" s="1"/>
      <c r="AC58" s="1"/>
      <c r="AG58" s="1"/>
      <c r="AH58" s="1"/>
      <c r="AL58" s="1"/>
      <c r="AM58" s="1"/>
    </row>
    <row r="59" spans="2:41" x14ac:dyDescent="0.25">
      <c r="B59" s="42" t="s">
        <v>71</v>
      </c>
      <c r="C59" s="42"/>
      <c r="D59" s="42"/>
      <c r="E59" s="4"/>
      <c r="G59" s="42" t="s">
        <v>71</v>
      </c>
      <c r="H59" s="42"/>
      <c r="I59" s="42"/>
      <c r="J59" s="4"/>
      <c r="L59" s="42" t="s">
        <v>71</v>
      </c>
      <c r="M59" s="42"/>
      <c r="N59" s="42"/>
      <c r="O59" s="4"/>
      <c r="Q59" s="42" t="s">
        <v>71</v>
      </c>
      <c r="R59" s="42"/>
      <c r="S59" s="42"/>
      <c r="V59" s="42" t="s">
        <v>71</v>
      </c>
      <c r="W59" s="42"/>
      <c r="X59" s="42"/>
      <c r="AB59" s="1"/>
      <c r="AC59" s="1"/>
      <c r="AG59" s="1"/>
      <c r="AH59" s="1"/>
      <c r="AL59" s="1"/>
      <c r="AM59" s="1"/>
    </row>
    <row r="60" spans="2:41" x14ac:dyDescent="0.25">
      <c r="B60" s="42" t="s">
        <v>74</v>
      </c>
      <c r="C60" s="42"/>
      <c r="D60" s="42"/>
      <c r="E60" s="4"/>
      <c r="G60" s="42" t="s">
        <v>74</v>
      </c>
      <c r="H60" s="42"/>
      <c r="I60" s="42"/>
      <c r="J60" s="4"/>
      <c r="L60" s="42" t="s">
        <v>91</v>
      </c>
      <c r="M60" s="42"/>
      <c r="N60" s="42"/>
      <c r="O60" s="4"/>
      <c r="Q60" s="42" t="s">
        <v>91</v>
      </c>
      <c r="R60" s="42"/>
      <c r="S60" s="42"/>
      <c r="V60" s="42" t="s">
        <v>147</v>
      </c>
      <c r="W60" s="42"/>
      <c r="X60" s="42"/>
      <c r="AA60" s="42" t="s">
        <v>71</v>
      </c>
      <c r="AB60" s="42"/>
      <c r="AC60" s="42"/>
      <c r="AF60" s="42" t="s">
        <v>71</v>
      </c>
      <c r="AG60" s="42"/>
      <c r="AH60" s="42"/>
      <c r="AK60" s="42" t="s">
        <v>71</v>
      </c>
      <c r="AL60" s="42"/>
      <c r="AM60" s="42"/>
    </row>
    <row r="61" spans="2:41" x14ac:dyDescent="0.25">
      <c r="B61" t="s">
        <v>29</v>
      </c>
      <c r="C61" s="1">
        <f>C7</f>
        <v>122151270</v>
      </c>
      <c r="G61" t="s">
        <v>29</v>
      </c>
      <c r="H61" s="1">
        <f>H7</f>
        <v>110032510</v>
      </c>
      <c r="I61" s="1"/>
      <c r="J61" s="1"/>
      <c r="L61" t="s">
        <v>29</v>
      </c>
      <c r="M61" s="1">
        <f>M7</f>
        <v>119085150</v>
      </c>
      <c r="N61" s="1"/>
      <c r="O61" s="1"/>
      <c r="Q61" t="s">
        <v>29</v>
      </c>
      <c r="R61" s="1">
        <f>R7</f>
        <v>109700300</v>
      </c>
      <c r="S61" s="1"/>
      <c r="V61" t="s">
        <v>29</v>
      </c>
      <c r="W61" s="1">
        <f>W7</f>
        <v>85764250</v>
      </c>
      <c r="X61" s="1"/>
      <c r="AA61" s="42" t="s">
        <v>150</v>
      </c>
      <c r="AB61" s="42"/>
      <c r="AC61" s="42"/>
      <c r="AF61" s="42" t="s">
        <v>150</v>
      </c>
      <c r="AG61" s="42"/>
      <c r="AH61" s="42"/>
      <c r="AK61" s="42" t="s">
        <v>150</v>
      </c>
      <c r="AL61" s="42"/>
      <c r="AM61" s="42"/>
    </row>
    <row r="62" spans="2:41" x14ac:dyDescent="0.25">
      <c r="B62" t="s">
        <v>30</v>
      </c>
      <c r="C62" s="1">
        <v>1979513</v>
      </c>
      <c r="G62" t="s">
        <v>30</v>
      </c>
      <c r="H62" s="1">
        <v>1233557</v>
      </c>
      <c r="I62" s="1"/>
      <c r="J62" s="1"/>
      <c r="L62" t="s">
        <v>30</v>
      </c>
      <c r="M62" s="1">
        <v>1337731</v>
      </c>
      <c r="N62" s="1"/>
      <c r="O62" s="1"/>
      <c r="Q62" t="s">
        <v>30</v>
      </c>
      <c r="R62" s="1">
        <v>153298</v>
      </c>
      <c r="S62" s="1"/>
      <c r="V62" t="s">
        <v>30</v>
      </c>
      <c r="W62" s="1">
        <v>372833</v>
      </c>
      <c r="X62" s="1"/>
      <c r="AA62" t="s">
        <v>29</v>
      </c>
      <c r="AB62" s="1">
        <f>AB7</f>
        <v>96485000</v>
      </c>
      <c r="AC62" s="1"/>
      <c r="AF62" t="s">
        <v>29</v>
      </c>
      <c r="AG62" s="1">
        <f>AG7</f>
        <v>100928250</v>
      </c>
      <c r="AH62" s="1"/>
      <c r="AK62" t="s">
        <v>29</v>
      </c>
      <c r="AL62" s="1">
        <f>AL7</f>
        <v>101533360</v>
      </c>
      <c r="AM62" s="1"/>
    </row>
    <row r="63" spans="2:41" x14ac:dyDescent="0.25">
      <c r="B63" t="s">
        <v>31</v>
      </c>
      <c r="C63" s="1">
        <v>5075239.0199999996</v>
      </c>
      <c r="G63" t="s">
        <v>31</v>
      </c>
      <c r="H63" s="1">
        <v>7175579.0199999996</v>
      </c>
      <c r="I63" s="1"/>
      <c r="J63" s="1"/>
      <c r="L63" t="s">
        <v>31</v>
      </c>
      <c r="M63" s="1">
        <v>8081592.7199999997</v>
      </c>
      <c r="N63" s="1"/>
      <c r="O63" s="1"/>
      <c r="Q63" t="s">
        <v>31</v>
      </c>
      <c r="R63" s="1">
        <v>10228493.630000001</v>
      </c>
      <c r="S63" s="1"/>
      <c r="V63" t="s">
        <v>31</v>
      </c>
      <c r="W63" s="1">
        <v>4488995.2</v>
      </c>
      <c r="X63" s="1"/>
      <c r="AA63" t="s">
        <v>30</v>
      </c>
      <c r="AB63" s="1">
        <v>-588992</v>
      </c>
      <c r="AC63" s="1"/>
      <c r="AF63" t="s">
        <v>30</v>
      </c>
      <c r="AG63" s="1">
        <v>346358</v>
      </c>
      <c r="AH63" s="1"/>
      <c r="AK63" t="s">
        <v>30</v>
      </c>
      <c r="AL63" s="1">
        <v>2409100</v>
      </c>
      <c r="AM63" s="1"/>
    </row>
    <row r="64" spans="2:41" x14ac:dyDescent="0.25">
      <c r="B64" t="s">
        <v>32</v>
      </c>
      <c r="C64" s="1">
        <v>2034376.45</v>
      </c>
      <c r="G64" t="s">
        <v>32</v>
      </c>
      <c r="H64" s="1">
        <v>640685.63</v>
      </c>
      <c r="I64" s="1"/>
      <c r="J64" s="1"/>
      <c r="L64" t="s">
        <v>32</v>
      </c>
      <c r="M64" s="1">
        <v>2667761.98</v>
      </c>
      <c r="N64" s="1"/>
      <c r="O64" s="1"/>
      <c r="Q64" t="s">
        <v>32</v>
      </c>
      <c r="R64" s="1">
        <v>6751974.1399999997</v>
      </c>
      <c r="S64" s="1"/>
      <c r="V64" t="s">
        <v>32</v>
      </c>
      <c r="W64" s="1">
        <v>1737380.85</v>
      </c>
      <c r="X64" s="1"/>
      <c r="AA64" t="s">
        <v>31</v>
      </c>
      <c r="AB64" s="1">
        <v>488923.12</v>
      </c>
      <c r="AC64" s="1"/>
      <c r="AF64" t="s">
        <v>31</v>
      </c>
      <c r="AG64" s="1">
        <v>399334.34</v>
      </c>
      <c r="AH64" s="1"/>
      <c r="AK64" t="s">
        <v>31</v>
      </c>
      <c r="AL64" s="1">
        <v>330539.02</v>
      </c>
      <c r="AM64" s="1"/>
    </row>
    <row r="65" spans="2:39" x14ac:dyDescent="0.25">
      <c r="B65" t="s">
        <v>33</v>
      </c>
      <c r="C65" s="1">
        <v>278042</v>
      </c>
      <c r="G65" t="s">
        <v>33</v>
      </c>
      <c r="H65" s="1">
        <v>278042</v>
      </c>
      <c r="I65" s="1"/>
      <c r="J65" s="1"/>
      <c r="L65" t="s">
        <v>33</v>
      </c>
      <c r="M65" s="1">
        <v>278042</v>
      </c>
      <c r="N65" s="1"/>
      <c r="O65" s="1"/>
      <c r="Q65" t="s">
        <v>33</v>
      </c>
      <c r="R65" s="1">
        <v>278042</v>
      </c>
      <c r="S65" s="1"/>
      <c r="V65" t="s">
        <v>33</v>
      </c>
      <c r="W65" s="1">
        <v>278042</v>
      </c>
      <c r="X65" s="1"/>
      <c r="AA65" t="s">
        <v>32</v>
      </c>
      <c r="AB65" s="1">
        <v>1552348.93</v>
      </c>
      <c r="AC65" s="1"/>
      <c r="AF65" t="s">
        <v>32</v>
      </c>
      <c r="AG65" s="1">
        <v>197979.86</v>
      </c>
      <c r="AH65" s="1"/>
      <c r="AK65" t="s">
        <v>32</v>
      </c>
      <c r="AL65" s="1">
        <v>306118.02</v>
      </c>
      <c r="AM65" s="1"/>
    </row>
    <row r="66" spans="2:39" s="2" customFormat="1" x14ac:dyDescent="0.25">
      <c r="C66" s="3"/>
      <c r="D66" s="3">
        <f>SUM(C61:C65)</f>
        <v>131518440.47</v>
      </c>
      <c r="E66" s="3"/>
      <c r="H66" s="3"/>
      <c r="I66" s="3">
        <f>SUM(H61:H65)</f>
        <v>119360373.64999999</v>
      </c>
      <c r="J66" s="3"/>
      <c r="M66" s="3"/>
      <c r="N66" s="3">
        <f>SUM(M61:M65)</f>
        <v>131450277.7</v>
      </c>
      <c r="O66" s="3"/>
      <c r="R66" s="3"/>
      <c r="S66" s="3">
        <f>SUM(R61:R65)</f>
        <v>127112107.77</v>
      </c>
      <c r="W66" s="3"/>
      <c r="X66" s="3">
        <f>SUM(W61:W65)</f>
        <v>92641501.049999997</v>
      </c>
      <c r="AA66" t="s">
        <v>33</v>
      </c>
      <c r="AB66" s="1">
        <v>278042</v>
      </c>
      <c r="AC66" s="1"/>
      <c r="AF66" t="s">
        <v>33</v>
      </c>
      <c r="AG66" s="1">
        <v>278042</v>
      </c>
      <c r="AH66" s="1"/>
      <c r="AK66" t="s">
        <v>33</v>
      </c>
      <c r="AL66" s="1">
        <v>278042</v>
      </c>
      <c r="AM66" s="1"/>
    </row>
    <row r="67" spans="2:39" s="2" customFormat="1" x14ac:dyDescent="0.25">
      <c r="B67" s="2" t="s">
        <v>34</v>
      </c>
      <c r="C67" s="3"/>
      <c r="D67" s="3"/>
      <c r="E67" s="3"/>
      <c r="G67" s="2" t="s">
        <v>34</v>
      </c>
      <c r="H67" s="3"/>
      <c r="I67" s="3"/>
      <c r="J67" s="3"/>
      <c r="L67" s="2" t="s">
        <v>34</v>
      </c>
      <c r="M67" s="3"/>
      <c r="N67" s="3"/>
      <c r="O67" s="3"/>
      <c r="Q67" s="2" t="s">
        <v>34</v>
      </c>
      <c r="R67" s="3"/>
      <c r="S67" s="3"/>
      <c r="V67" s="2" t="s">
        <v>34</v>
      </c>
      <c r="W67" s="3"/>
      <c r="X67" s="3"/>
      <c r="AB67" s="3"/>
      <c r="AC67" s="3">
        <f>SUM(AB62:AB66)</f>
        <v>98215322.050000012</v>
      </c>
      <c r="AF67" t="s">
        <v>160</v>
      </c>
      <c r="AG67" s="1">
        <v>308172.5</v>
      </c>
      <c r="AH67" s="1"/>
      <c r="AK67" t="s">
        <v>160</v>
      </c>
      <c r="AL67" s="1">
        <v>5011160.01</v>
      </c>
      <c r="AM67" s="1"/>
    </row>
    <row r="68" spans="2:39" x14ac:dyDescent="0.25">
      <c r="B68" t="s">
        <v>35</v>
      </c>
      <c r="C68" s="1">
        <v>500000</v>
      </c>
      <c r="G68" t="s">
        <v>35</v>
      </c>
      <c r="H68" s="1">
        <v>500000</v>
      </c>
      <c r="I68" s="1"/>
      <c r="J68" s="1"/>
      <c r="L68" t="s">
        <v>35</v>
      </c>
      <c r="M68" s="1">
        <v>500000</v>
      </c>
      <c r="N68" s="1"/>
      <c r="O68" s="1"/>
      <c r="Q68" t="s">
        <v>35</v>
      </c>
      <c r="R68" s="1">
        <v>500000</v>
      </c>
      <c r="S68" s="1"/>
      <c r="V68" t="s">
        <v>35</v>
      </c>
      <c r="W68" s="1">
        <v>500000</v>
      </c>
      <c r="X68" s="1"/>
      <c r="AA68" s="2" t="s">
        <v>34</v>
      </c>
      <c r="AB68" s="3"/>
      <c r="AC68" s="3"/>
      <c r="AF68" s="2"/>
      <c r="AG68" s="3"/>
      <c r="AH68" s="3">
        <f>SUM(AG62:AG67)</f>
        <v>102458136.7</v>
      </c>
      <c r="AK68" s="2"/>
      <c r="AL68" s="3"/>
      <c r="AM68" s="3">
        <f>SUM(AL62:AL67)</f>
        <v>109868319.05</v>
      </c>
    </row>
    <row r="69" spans="2:39" x14ac:dyDescent="0.25">
      <c r="B69" t="s">
        <v>36</v>
      </c>
      <c r="C69" s="1">
        <v>101300</v>
      </c>
      <c r="G69" t="s">
        <v>36</v>
      </c>
      <c r="H69" s="1">
        <v>101300</v>
      </c>
      <c r="I69" s="1"/>
      <c r="J69" s="1"/>
      <c r="L69" t="s">
        <v>36</v>
      </c>
      <c r="M69" s="1">
        <v>101300</v>
      </c>
      <c r="N69" s="1"/>
      <c r="O69" s="1"/>
      <c r="Q69" t="s">
        <v>36</v>
      </c>
      <c r="R69" s="1">
        <v>101300</v>
      </c>
      <c r="S69" s="1"/>
      <c r="V69" t="s">
        <v>36</v>
      </c>
      <c r="W69" s="1">
        <v>101300</v>
      </c>
      <c r="X69" s="1"/>
      <c r="AA69" t="s">
        <v>35</v>
      </c>
      <c r="AB69" s="1">
        <v>500000</v>
      </c>
      <c r="AC69" s="1"/>
      <c r="AF69" s="2" t="s">
        <v>34</v>
      </c>
      <c r="AG69" s="3"/>
      <c r="AH69" s="3"/>
      <c r="AK69" s="2" t="s">
        <v>34</v>
      </c>
      <c r="AL69" s="3"/>
      <c r="AM69" s="3"/>
    </row>
    <row r="70" spans="2:39" x14ac:dyDescent="0.25">
      <c r="B70" t="s">
        <v>37</v>
      </c>
      <c r="C70" s="1">
        <v>50000</v>
      </c>
      <c r="G70" t="s">
        <v>37</v>
      </c>
      <c r="H70" s="1">
        <v>50000</v>
      </c>
      <c r="I70" s="1"/>
      <c r="J70" s="1"/>
      <c r="L70" t="s">
        <v>37</v>
      </c>
      <c r="M70" s="1">
        <v>50000</v>
      </c>
      <c r="N70" s="1"/>
      <c r="O70" s="1"/>
      <c r="Q70" t="s">
        <v>37</v>
      </c>
      <c r="R70" s="1">
        <v>50000</v>
      </c>
      <c r="S70" s="1"/>
      <c r="V70" t="s">
        <v>37</v>
      </c>
      <c r="W70" s="1">
        <v>50000</v>
      </c>
      <c r="X70" s="1"/>
      <c r="AA70" t="s">
        <v>36</v>
      </c>
      <c r="AB70" s="1">
        <v>101300</v>
      </c>
      <c r="AC70" s="1"/>
      <c r="AF70" t="s">
        <v>35</v>
      </c>
      <c r="AG70" s="1">
        <v>500000</v>
      </c>
      <c r="AH70" s="1"/>
      <c r="AK70" t="s">
        <v>35</v>
      </c>
      <c r="AL70" s="1">
        <v>500000</v>
      </c>
      <c r="AM70" s="1"/>
    </row>
    <row r="71" spans="2:39" x14ac:dyDescent="0.25">
      <c r="B71" t="s">
        <v>38</v>
      </c>
      <c r="C71" s="1">
        <v>919300</v>
      </c>
      <c r="G71" t="s">
        <v>38</v>
      </c>
      <c r="H71" s="1">
        <v>919300</v>
      </c>
      <c r="I71" s="1"/>
      <c r="J71" s="1"/>
      <c r="L71" t="s">
        <v>38</v>
      </c>
      <c r="M71" s="1">
        <v>919300</v>
      </c>
      <c r="N71" s="1"/>
      <c r="O71" s="1"/>
      <c r="Q71" s="2"/>
      <c r="R71" s="3"/>
      <c r="S71" s="3">
        <f>SUM(R68:R70)</f>
        <v>651300</v>
      </c>
      <c r="T71" s="2"/>
      <c r="U71" s="2"/>
      <c r="V71" s="2"/>
      <c r="W71" s="3"/>
      <c r="X71" s="3">
        <f>SUM(W68:W70)</f>
        <v>651300</v>
      </c>
      <c r="Z71" s="2"/>
      <c r="AA71" t="s">
        <v>37</v>
      </c>
      <c r="AB71" s="1">
        <v>50000</v>
      </c>
      <c r="AC71" s="1"/>
      <c r="AF71" t="s">
        <v>36</v>
      </c>
      <c r="AG71" s="1">
        <v>101300</v>
      </c>
      <c r="AH71" s="1"/>
      <c r="AK71" t="s">
        <v>36</v>
      </c>
      <c r="AL71" s="1">
        <v>101300</v>
      </c>
      <c r="AM71" s="1"/>
    </row>
    <row r="72" spans="2:39" s="2" customFormat="1" x14ac:dyDescent="0.25">
      <c r="C72" s="3"/>
      <c r="D72" s="3">
        <f>SUM(C68:C71)</f>
        <v>1570600</v>
      </c>
      <c r="E72" s="3"/>
      <c r="H72" s="3"/>
      <c r="I72" s="3">
        <f>SUM(H68:H71)</f>
        <v>1570600</v>
      </c>
      <c r="J72" s="3"/>
      <c r="M72" s="3"/>
      <c r="N72" s="3">
        <f>SUM(M68:M71)</f>
        <v>1570600</v>
      </c>
      <c r="O72" s="3"/>
      <c r="Q72" s="2" t="s">
        <v>39</v>
      </c>
      <c r="R72" s="3"/>
      <c r="S72" s="3"/>
      <c r="V72" s="2" t="s">
        <v>39</v>
      </c>
      <c r="W72" s="3"/>
      <c r="X72" s="3"/>
      <c r="AB72" s="3"/>
      <c r="AC72" s="3">
        <f>SUM(AB69:AB71)</f>
        <v>651300</v>
      </c>
      <c r="AF72" t="s">
        <v>37</v>
      </c>
      <c r="AG72" s="1">
        <v>50000</v>
      </c>
      <c r="AH72" s="1"/>
      <c r="AK72" t="s">
        <v>37</v>
      </c>
      <c r="AL72" s="1">
        <v>50000</v>
      </c>
      <c r="AM72" s="1"/>
    </row>
    <row r="73" spans="2:39" s="2" customFormat="1" x14ac:dyDescent="0.25">
      <c r="B73" s="2" t="s">
        <v>39</v>
      </c>
      <c r="C73" s="3"/>
      <c r="D73" s="3"/>
      <c r="E73" s="3"/>
      <c r="G73" s="2" t="s">
        <v>39</v>
      </c>
      <c r="H73" s="3"/>
      <c r="I73" s="3"/>
      <c r="J73" s="3"/>
      <c r="L73" s="2" t="s">
        <v>39</v>
      </c>
      <c r="M73" s="3"/>
      <c r="N73" s="3"/>
      <c r="O73" s="3"/>
      <c r="Q73" t="s">
        <v>40</v>
      </c>
      <c r="R73" s="1">
        <v>982370</v>
      </c>
      <c r="S73" s="1"/>
      <c r="T73"/>
      <c r="U73"/>
      <c r="V73" t="s">
        <v>40</v>
      </c>
      <c r="W73" s="1">
        <v>942370</v>
      </c>
      <c r="X73" s="1"/>
      <c r="Z73"/>
      <c r="AA73" s="2" t="s">
        <v>39</v>
      </c>
      <c r="AB73" s="3"/>
      <c r="AC73" s="3"/>
      <c r="AG73" s="3"/>
      <c r="AH73" s="3">
        <f>SUM(AG70:AG72)</f>
        <v>651300</v>
      </c>
      <c r="AL73" s="3"/>
      <c r="AM73" s="3">
        <f>SUM(AL70:AL72)</f>
        <v>651300</v>
      </c>
    </row>
    <row r="74" spans="2:39" x14ac:dyDescent="0.25">
      <c r="B74" t="s">
        <v>40</v>
      </c>
      <c r="C74" s="1">
        <v>1062370</v>
      </c>
      <c r="G74" t="s">
        <v>40</v>
      </c>
      <c r="H74" s="1">
        <v>1062370</v>
      </c>
      <c r="I74" s="1"/>
      <c r="J74" s="1"/>
      <c r="L74" t="s">
        <v>40</v>
      </c>
      <c r="M74" s="1">
        <v>1022370</v>
      </c>
      <c r="N74" s="1"/>
      <c r="O74" s="1"/>
      <c r="Q74" t="s">
        <v>94</v>
      </c>
      <c r="R74" s="1">
        <v>100000</v>
      </c>
      <c r="S74" s="1"/>
      <c r="V74" t="s">
        <v>94</v>
      </c>
      <c r="W74" s="1">
        <v>90000</v>
      </c>
      <c r="X74" s="1"/>
      <c r="AA74" t="s">
        <v>40</v>
      </c>
      <c r="AB74" s="1">
        <v>902370</v>
      </c>
      <c r="AC74" s="1"/>
      <c r="AF74" s="2" t="s">
        <v>39</v>
      </c>
      <c r="AG74" s="3"/>
      <c r="AH74" s="3"/>
      <c r="AK74" s="2" t="s">
        <v>39</v>
      </c>
      <c r="AL74" s="3"/>
      <c r="AM74" s="3"/>
    </row>
    <row r="75" spans="2:39" x14ac:dyDescent="0.25">
      <c r="B75" t="s">
        <v>41</v>
      </c>
      <c r="C75" s="1">
        <v>20000</v>
      </c>
      <c r="G75" t="s">
        <v>41</v>
      </c>
      <c r="H75" s="1">
        <v>0</v>
      </c>
      <c r="I75" s="1"/>
      <c r="J75" s="1"/>
      <c r="L75" t="s">
        <v>41</v>
      </c>
      <c r="M75" s="1">
        <v>0</v>
      </c>
      <c r="N75" s="1"/>
      <c r="O75" s="1"/>
      <c r="Q75" t="s">
        <v>42</v>
      </c>
      <c r="R75" s="1">
        <v>53840</v>
      </c>
      <c r="S75" s="1"/>
      <c r="V75" t="s">
        <v>42</v>
      </c>
      <c r="W75" s="1">
        <v>53840</v>
      </c>
      <c r="X75" s="1"/>
      <c r="AA75" t="s">
        <v>94</v>
      </c>
      <c r="AB75" s="1">
        <v>80000</v>
      </c>
      <c r="AC75" s="1"/>
      <c r="AF75" t="s">
        <v>40</v>
      </c>
      <c r="AG75" s="1">
        <v>902370</v>
      </c>
      <c r="AH75" s="1"/>
      <c r="AK75" t="s">
        <v>40</v>
      </c>
      <c r="AL75" s="1">
        <v>902370</v>
      </c>
      <c r="AM75" s="1"/>
    </row>
    <row r="76" spans="2:39" x14ac:dyDescent="0.25">
      <c r="B76" t="s">
        <v>42</v>
      </c>
      <c r="C76" s="1">
        <v>53840</v>
      </c>
      <c r="G76" t="s">
        <v>42</v>
      </c>
      <c r="H76" s="1">
        <v>53840</v>
      </c>
      <c r="I76" s="1"/>
      <c r="J76" s="1"/>
      <c r="L76" t="s">
        <v>42</v>
      </c>
      <c r="M76" s="1">
        <v>53840</v>
      </c>
      <c r="N76" s="1"/>
      <c r="O76" s="1"/>
      <c r="Q76" t="s">
        <v>43</v>
      </c>
      <c r="R76" s="1">
        <v>90000</v>
      </c>
      <c r="S76" s="1"/>
      <c r="V76" t="s">
        <v>43</v>
      </c>
      <c r="W76" s="1">
        <v>90000</v>
      </c>
      <c r="X76" s="1"/>
      <c r="AA76" t="s">
        <v>42</v>
      </c>
      <c r="AB76" s="1">
        <v>53840</v>
      </c>
      <c r="AC76" s="1"/>
      <c r="AF76" t="s">
        <v>94</v>
      </c>
      <c r="AG76" s="1">
        <v>70000</v>
      </c>
      <c r="AH76" s="1"/>
      <c r="AK76" t="s">
        <v>94</v>
      </c>
      <c r="AL76" s="1">
        <v>60000</v>
      </c>
      <c r="AM76" s="1"/>
    </row>
    <row r="77" spans="2:39" x14ac:dyDescent="0.25">
      <c r="B77" t="s">
        <v>43</v>
      </c>
      <c r="C77" s="1">
        <v>26000</v>
      </c>
      <c r="G77" t="s">
        <v>43</v>
      </c>
      <c r="H77" s="1">
        <v>100000</v>
      </c>
      <c r="I77" s="1"/>
      <c r="J77" s="1"/>
      <c r="L77" t="s">
        <v>43</v>
      </c>
      <c r="M77" s="1">
        <v>90000</v>
      </c>
      <c r="N77" s="1"/>
      <c r="O77" s="1"/>
      <c r="Q77" t="s">
        <v>44</v>
      </c>
      <c r="R77" s="1">
        <v>50000</v>
      </c>
      <c r="S77" s="1"/>
      <c r="V77" t="s">
        <v>44</v>
      </c>
      <c r="W77" s="1">
        <v>50000</v>
      </c>
      <c r="X77" s="1"/>
      <c r="AA77" t="s">
        <v>43</v>
      </c>
      <c r="AB77" s="1">
        <v>90000</v>
      </c>
      <c r="AC77" s="1"/>
      <c r="AF77" t="s">
        <v>42</v>
      </c>
      <c r="AG77" s="1">
        <v>53840</v>
      </c>
      <c r="AH77" s="1"/>
      <c r="AK77" t="s">
        <v>42</v>
      </c>
      <c r="AL77" s="1">
        <v>53840</v>
      </c>
      <c r="AM77" s="1"/>
    </row>
    <row r="78" spans="2:39" x14ac:dyDescent="0.25">
      <c r="B78" t="s">
        <v>44</v>
      </c>
      <c r="C78" s="1">
        <v>44000</v>
      </c>
      <c r="G78" t="s">
        <v>44</v>
      </c>
      <c r="H78" s="1">
        <v>34000</v>
      </c>
      <c r="I78" s="1"/>
      <c r="J78" s="1"/>
      <c r="L78" t="s">
        <v>44</v>
      </c>
      <c r="M78" s="1">
        <v>34000</v>
      </c>
      <c r="N78" s="1"/>
      <c r="O78" s="1"/>
      <c r="Q78" t="s">
        <v>75</v>
      </c>
      <c r="R78" s="1">
        <v>10000</v>
      </c>
      <c r="S78" s="1"/>
      <c r="V78" t="s">
        <v>75</v>
      </c>
      <c r="W78" s="1">
        <v>5000</v>
      </c>
      <c r="X78" s="1"/>
      <c r="AA78" t="s">
        <v>44</v>
      </c>
      <c r="AB78" s="1">
        <v>50000</v>
      </c>
      <c r="AC78" s="1"/>
      <c r="AF78" t="s">
        <v>43</v>
      </c>
      <c r="AG78" s="1">
        <v>90000</v>
      </c>
      <c r="AH78" s="1"/>
      <c r="AK78" t="s">
        <v>43</v>
      </c>
      <c r="AL78" s="1">
        <v>90000</v>
      </c>
      <c r="AM78" s="1"/>
    </row>
    <row r="79" spans="2:39" x14ac:dyDescent="0.25">
      <c r="B79" t="s">
        <v>45</v>
      </c>
      <c r="C79" s="1">
        <v>10000</v>
      </c>
      <c r="G79" t="s">
        <v>75</v>
      </c>
      <c r="H79" s="1">
        <v>20000</v>
      </c>
      <c r="I79" s="1"/>
      <c r="J79" s="1"/>
      <c r="L79" t="s">
        <v>75</v>
      </c>
      <c r="M79" s="1">
        <v>15000</v>
      </c>
      <c r="N79" s="1"/>
      <c r="O79" s="1"/>
      <c r="Q79" t="s">
        <v>83</v>
      </c>
      <c r="R79" s="1">
        <v>40000</v>
      </c>
      <c r="S79" s="1"/>
      <c r="V79" t="s">
        <v>83</v>
      </c>
      <c r="W79" s="1">
        <v>35000</v>
      </c>
      <c r="X79" s="1"/>
      <c r="AA79" t="s">
        <v>153</v>
      </c>
      <c r="AB79" s="1">
        <v>30000</v>
      </c>
      <c r="AC79" s="1"/>
      <c r="AF79" t="s">
        <v>44</v>
      </c>
      <c r="AG79" s="1">
        <v>50000</v>
      </c>
      <c r="AH79" s="1"/>
      <c r="AK79" t="s">
        <v>230</v>
      </c>
      <c r="AL79" s="1">
        <v>50000</v>
      </c>
      <c r="AM79" s="1"/>
    </row>
    <row r="80" spans="2:39" x14ac:dyDescent="0.25">
      <c r="B80" t="s">
        <v>46</v>
      </c>
      <c r="C80" s="1">
        <v>5000</v>
      </c>
      <c r="G80" t="s">
        <v>76</v>
      </c>
      <c r="H80" s="1">
        <v>40000</v>
      </c>
      <c r="I80" s="1"/>
      <c r="J80" s="1"/>
      <c r="L80" t="s">
        <v>83</v>
      </c>
      <c r="M80" s="1">
        <v>45000</v>
      </c>
      <c r="N80" s="1"/>
      <c r="O80" s="1"/>
      <c r="Q80" t="s">
        <v>76</v>
      </c>
      <c r="R80" s="1">
        <v>30000</v>
      </c>
      <c r="S80" s="1"/>
      <c r="T80" s="2"/>
      <c r="U80" s="2"/>
      <c r="V80" t="s">
        <v>76</v>
      </c>
      <c r="W80" s="1">
        <v>25000</v>
      </c>
      <c r="X80" s="1"/>
      <c r="Z80" s="2"/>
      <c r="AA80" t="s">
        <v>154</v>
      </c>
      <c r="AB80" s="1">
        <v>30000</v>
      </c>
      <c r="AC80" s="1"/>
      <c r="AF80" t="s">
        <v>153</v>
      </c>
      <c r="AG80" s="1">
        <v>30000</v>
      </c>
      <c r="AH80" s="1"/>
      <c r="AK80" t="s">
        <v>44</v>
      </c>
      <c r="AL80" s="1">
        <v>50000</v>
      </c>
      <c r="AM80" s="1"/>
    </row>
    <row r="81" spans="2:39" s="2" customFormat="1" x14ac:dyDescent="0.25">
      <c r="C81" s="3"/>
      <c r="D81" s="3">
        <f>SUM(C74:C80)</f>
        <v>1221210</v>
      </c>
      <c r="E81" s="3"/>
      <c r="H81" s="3"/>
      <c r="I81" s="3">
        <f>SUM(H74:H80)</f>
        <v>1310210</v>
      </c>
      <c r="J81" s="3"/>
      <c r="K81"/>
      <c r="L81" t="s">
        <v>76</v>
      </c>
      <c r="M81" s="1">
        <v>35000</v>
      </c>
      <c r="N81" s="1"/>
      <c r="O81" s="1"/>
      <c r="P81"/>
      <c r="R81" s="3"/>
      <c r="S81" s="3">
        <f>SUM(R73:R80)</f>
        <v>1356210</v>
      </c>
      <c r="V81" t="s">
        <v>103</v>
      </c>
      <c r="W81" s="1">
        <v>42500</v>
      </c>
      <c r="X81" s="1"/>
      <c r="AA81" t="s">
        <v>83</v>
      </c>
      <c r="AB81" s="1">
        <v>30000</v>
      </c>
      <c r="AC81" s="1"/>
      <c r="AF81" t="s">
        <v>154</v>
      </c>
      <c r="AG81" s="1">
        <v>30000</v>
      </c>
      <c r="AH81" s="1"/>
      <c r="AK81" t="s">
        <v>154</v>
      </c>
      <c r="AL81" s="1">
        <v>30000</v>
      </c>
      <c r="AM81" s="1"/>
    </row>
    <row r="82" spans="2:39" s="2" customFormat="1" x14ac:dyDescent="0.25">
      <c r="B82" s="2" t="s">
        <v>47</v>
      </c>
      <c r="C82" s="3"/>
      <c r="D82" s="3"/>
      <c r="E82" s="3"/>
      <c r="G82" s="2" t="s">
        <v>47</v>
      </c>
      <c r="H82" s="3"/>
      <c r="I82" s="3"/>
      <c r="J82" s="3"/>
      <c r="M82" s="3"/>
      <c r="N82" s="3">
        <f>SUM(M74:M81)</f>
        <v>1295210</v>
      </c>
      <c r="O82" s="3"/>
      <c r="Q82" s="2" t="s">
        <v>47</v>
      </c>
      <c r="R82" s="3"/>
      <c r="S82" s="3"/>
      <c r="T82"/>
      <c r="W82" s="3"/>
      <c r="X82" s="3">
        <f>SUM(W73:W81)</f>
        <v>1333710</v>
      </c>
      <c r="Z82"/>
      <c r="AA82" t="s">
        <v>76</v>
      </c>
      <c r="AB82" s="1">
        <v>20000</v>
      </c>
      <c r="AC82" s="1"/>
      <c r="AF82" t="s">
        <v>83</v>
      </c>
      <c r="AG82" s="1">
        <v>30000</v>
      </c>
      <c r="AH82" s="1"/>
      <c r="AK82" t="s">
        <v>83</v>
      </c>
      <c r="AL82" s="1">
        <v>30000</v>
      </c>
      <c r="AM82" s="1"/>
    </row>
    <row r="83" spans="2:39" x14ac:dyDescent="0.25">
      <c r="B83" t="s">
        <v>48</v>
      </c>
      <c r="C83" s="1">
        <v>6408765</v>
      </c>
      <c r="G83" t="s">
        <v>48</v>
      </c>
      <c r="H83" s="1">
        <v>6408765</v>
      </c>
      <c r="I83" s="1"/>
      <c r="J83" s="1"/>
      <c r="K83" s="2"/>
      <c r="L83" s="2" t="s">
        <v>47</v>
      </c>
      <c r="M83" s="3"/>
      <c r="N83" s="3"/>
      <c r="O83" s="3"/>
      <c r="P83" s="2"/>
      <c r="Q83" t="s">
        <v>48</v>
      </c>
      <c r="R83" s="1">
        <v>6408765</v>
      </c>
      <c r="S83" s="1"/>
      <c r="V83" s="2" t="s">
        <v>47</v>
      </c>
      <c r="W83" s="3"/>
      <c r="X83" s="3"/>
      <c r="AA83" t="s">
        <v>103</v>
      </c>
      <c r="AB83" s="1">
        <v>35000</v>
      </c>
      <c r="AC83" s="1"/>
      <c r="AF83" t="s">
        <v>76</v>
      </c>
      <c r="AG83" s="1">
        <v>15000</v>
      </c>
      <c r="AH83" s="1"/>
      <c r="AK83" t="s">
        <v>76</v>
      </c>
      <c r="AL83" s="1">
        <v>15000</v>
      </c>
      <c r="AM83" s="1"/>
    </row>
    <row r="84" spans="2:39" x14ac:dyDescent="0.25">
      <c r="B84" t="s">
        <v>49</v>
      </c>
      <c r="C84" s="1">
        <v>149500</v>
      </c>
      <c r="G84" t="s">
        <v>49</v>
      </c>
      <c r="H84" s="1">
        <v>149500</v>
      </c>
      <c r="I84" s="1"/>
      <c r="J84" s="1"/>
      <c r="L84" t="s">
        <v>48</v>
      </c>
      <c r="M84" s="1">
        <v>6408765</v>
      </c>
      <c r="N84" s="1"/>
      <c r="O84" s="1"/>
      <c r="Q84" t="s">
        <v>49</v>
      </c>
      <c r="R84" s="1">
        <v>149500</v>
      </c>
      <c r="S84" s="1"/>
      <c r="V84" t="s">
        <v>48</v>
      </c>
      <c r="W84" s="1">
        <v>6408765</v>
      </c>
      <c r="X84" s="1"/>
      <c r="AA84" s="2"/>
      <c r="AB84" s="3"/>
      <c r="AC84" s="3">
        <f>SUM(AB74:AB83)</f>
        <v>1321210</v>
      </c>
      <c r="AF84" t="s">
        <v>159</v>
      </c>
      <c r="AG84" s="1">
        <v>124000</v>
      </c>
      <c r="AH84" s="1"/>
      <c r="AK84" t="s">
        <v>162</v>
      </c>
      <c r="AL84" s="1">
        <v>100000</v>
      </c>
      <c r="AM84" s="1"/>
    </row>
    <row r="85" spans="2:39" x14ac:dyDescent="0.25">
      <c r="B85" t="s">
        <v>50</v>
      </c>
      <c r="C85" s="1">
        <v>8930616</v>
      </c>
      <c r="G85" t="s">
        <v>50</v>
      </c>
      <c r="H85" s="1">
        <v>8930616</v>
      </c>
      <c r="I85" s="1"/>
      <c r="J85" s="1"/>
      <c r="L85" t="s">
        <v>49</v>
      </c>
      <c r="M85" s="1">
        <v>149500</v>
      </c>
      <c r="N85" s="1"/>
      <c r="O85" s="1"/>
      <c r="Q85" t="s">
        <v>50</v>
      </c>
      <c r="R85" s="1">
        <v>8930616</v>
      </c>
      <c r="S85" s="1"/>
      <c r="V85" t="s">
        <v>49</v>
      </c>
      <c r="W85" s="1">
        <v>149500</v>
      </c>
      <c r="X85" s="1"/>
      <c r="AA85" s="2" t="s">
        <v>47</v>
      </c>
      <c r="AB85" s="3"/>
      <c r="AC85" s="3"/>
      <c r="AF85" t="s">
        <v>103</v>
      </c>
      <c r="AG85" s="1">
        <v>27500</v>
      </c>
      <c r="AH85" s="1"/>
      <c r="AK85" t="s">
        <v>159</v>
      </c>
      <c r="AL85" s="1">
        <v>124000</v>
      </c>
      <c r="AM85" s="1"/>
    </row>
    <row r="86" spans="2:39" x14ac:dyDescent="0.25">
      <c r="B86" t="s">
        <v>51</v>
      </c>
      <c r="G86" t="s">
        <v>77</v>
      </c>
      <c r="H86" s="1">
        <v>2750000</v>
      </c>
      <c r="I86" s="1"/>
      <c r="J86" s="1"/>
      <c r="L86" t="s">
        <v>50</v>
      </c>
      <c r="M86" s="1">
        <v>8930616</v>
      </c>
      <c r="N86" s="1"/>
      <c r="O86" s="1"/>
      <c r="Q86" t="s">
        <v>77</v>
      </c>
      <c r="R86" s="1">
        <v>2750000</v>
      </c>
      <c r="S86" s="1"/>
      <c r="V86" t="s">
        <v>50</v>
      </c>
      <c r="W86" s="1">
        <v>8930616</v>
      </c>
      <c r="X86" s="1"/>
      <c r="AA86" t="s">
        <v>48</v>
      </c>
      <c r="AB86" s="1">
        <v>6408765</v>
      </c>
      <c r="AC86" s="1"/>
      <c r="AF86" s="2"/>
      <c r="AG86" s="3"/>
      <c r="AH86" s="3">
        <f>SUM(AG75:AG85)</f>
        <v>1422710</v>
      </c>
      <c r="AK86" t="s">
        <v>103</v>
      </c>
      <c r="AL86" s="1">
        <v>20000</v>
      </c>
      <c r="AM86" s="1"/>
    </row>
    <row r="87" spans="2:39" x14ac:dyDescent="0.25">
      <c r="B87" t="s">
        <v>52</v>
      </c>
      <c r="G87" t="s">
        <v>52</v>
      </c>
      <c r="H87" s="1"/>
      <c r="I87" s="1"/>
      <c r="J87" s="1"/>
      <c r="L87" t="s">
        <v>77</v>
      </c>
      <c r="M87" s="1">
        <v>2750000</v>
      </c>
      <c r="N87" s="1"/>
      <c r="O87" s="1"/>
      <c r="Q87" t="s">
        <v>52</v>
      </c>
      <c r="R87" s="1"/>
      <c r="S87" s="1"/>
      <c r="V87" t="s">
        <v>77</v>
      </c>
      <c r="W87" s="1">
        <v>2750000</v>
      </c>
      <c r="X87" s="1"/>
      <c r="AA87" t="s">
        <v>49</v>
      </c>
      <c r="AB87" s="1">
        <v>149500</v>
      </c>
      <c r="AC87" s="1"/>
      <c r="AF87" s="2" t="s">
        <v>47</v>
      </c>
      <c r="AG87" s="3"/>
      <c r="AH87" s="3"/>
      <c r="AK87" s="2"/>
      <c r="AL87" s="3"/>
      <c r="AM87" s="3">
        <f>SUM(AL75:AL86)</f>
        <v>1525210</v>
      </c>
    </row>
    <row r="88" spans="2:39" x14ac:dyDescent="0.25">
      <c r="B88" t="s">
        <v>53</v>
      </c>
      <c r="C88" s="1">
        <v>20620881</v>
      </c>
      <c r="G88" t="s">
        <v>53</v>
      </c>
      <c r="H88" s="1">
        <v>20620881</v>
      </c>
      <c r="I88" s="1"/>
      <c r="J88" s="1"/>
      <c r="L88" t="s">
        <v>52</v>
      </c>
      <c r="M88" s="1"/>
      <c r="N88" s="1"/>
      <c r="O88" s="1"/>
      <c r="Q88" t="s">
        <v>53</v>
      </c>
      <c r="R88" s="1">
        <v>19470881</v>
      </c>
      <c r="S88" s="1"/>
      <c r="T88" s="2"/>
      <c r="V88" t="s">
        <v>52</v>
      </c>
      <c r="W88" s="1"/>
      <c r="X88" s="1"/>
      <c r="Z88" s="2"/>
      <c r="AA88" t="s">
        <v>50</v>
      </c>
      <c r="AB88" s="1">
        <v>8930616</v>
      </c>
      <c r="AC88" s="1"/>
      <c r="AF88" t="s">
        <v>48</v>
      </c>
      <c r="AG88" s="1">
        <v>6408765</v>
      </c>
      <c r="AH88" s="1"/>
      <c r="AK88" s="2" t="s">
        <v>47</v>
      </c>
      <c r="AL88" s="3"/>
      <c r="AM88" s="3"/>
    </row>
    <row r="89" spans="2:39" s="2" customFormat="1" x14ac:dyDescent="0.25">
      <c r="C89" s="3"/>
      <c r="D89" s="3">
        <f>SUM(C83:C88)</f>
        <v>36109762</v>
      </c>
      <c r="E89" s="3"/>
      <c r="H89" s="3"/>
      <c r="I89" s="3">
        <f>SUM(H83:H88)</f>
        <v>38859762</v>
      </c>
      <c r="J89" s="3"/>
      <c r="K89"/>
      <c r="L89" t="s">
        <v>53</v>
      </c>
      <c r="M89" s="1">
        <v>19470881</v>
      </c>
      <c r="N89" s="1"/>
      <c r="O89" s="1">
        <f>H88-M89</f>
        <v>1150000</v>
      </c>
      <c r="P89"/>
      <c r="R89" s="3"/>
      <c r="S89" s="3">
        <f>SUM(R83:R88)</f>
        <v>37709762</v>
      </c>
      <c r="V89" t="s">
        <v>106</v>
      </c>
      <c r="W89" s="1">
        <v>2840530</v>
      </c>
      <c r="X89" s="1"/>
      <c r="AA89" t="s">
        <v>77</v>
      </c>
      <c r="AB89" s="1">
        <v>2750000</v>
      </c>
      <c r="AC89" s="1"/>
      <c r="AF89" t="s">
        <v>49</v>
      </c>
      <c r="AG89" s="1">
        <v>149500</v>
      </c>
      <c r="AH89" s="1"/>
      <c r="AK89" t="s">
        <v>48</v>
      </c>
      <c r="AL89" s="1">
        <v>6408765</v>
      </c>
      <c r="AM89" s="1"/>
    </row>
    <row r="90" spans="2:39" s="2" customFormat="1" ht="15.75" customHeight="1" x14ac:dyDescent="0.25">
      <c r="B90" s="2" t="s">
        <v>54</v>
      </c>
      <c r="C90" s="3"/>
      <c r="D90" s="3"/>
      <c r="E90" s="3"/>
      <c r="G90" s="2" t="s">
        <v>54</v>
      </c>
      <c r="H90" s="3"/>
      <c r="I90" s="3"/>
      <c r="J90" s="3"/>
      <c r="M90" s="3"/>
      <c r="N90" s="3">
        <f>SUM(M84:M89)</f>
        <v>37709762</v>
      </c>
      <c r="O90" s="3"/>
      <c r="Q90" s="2" t="s">
        <v>54</v>
      </c>
      <c r="R90" s="3"/>
      <c r="S90" s="3"/>
      <c r="T90"/>
      <c r="V90" t="s">
        <v>53</v>
      </c>
      <c r="W90" s="1">
        <v>19470881</v>
      </c>
      <c r="X90" s="1"/>
      <c r="Z90"/>
      <c r="AA90" t="s">
        <v>52</v>
      </c>
      <c r="AB90" s="1"/>
      <c r="AC90" s="1"/>
      <c r="AF90" t="s">
        <v>50</v>
      </c>
      <c r="AG90" s="1">
        <v>8930616</v>
      </c>
      <c r="AH90" s="1"/>
      <c r="AK90" t="s">
        <v>49</v>
      </c>
      <c r="AL90" s="1">
        <v>149500</v>
      </c>
      <c r="AM90" s="1"/>
    </row>
    <row r="91" spans="2:39" x14ac:dyDescent="0.25">
      <c r="B91" t="s">
        <v>55</v>
      </c>
      <c r="C91" s="1">
        <v>92242000</v>
      </c>
      <c r="G91" t="s">
        <v>55</v>
      </c>
      <c r="H91" s="1">
        <v>92242000</v>
      </c>
      <c r="I91" s="1"/>
      <c r="J91" s="1"/>
      <c r="K91" s="2"/>
      <c r="L91" s="2" t="s">
        <v>54</v>
      </c>
      <c r="M91" s="3"/>
      <c r="N91" s="3"/>
      <c r="O91" s="3"/>
      <c r="P91" s="2"/>
      <c r="Q91" t="s">
        <v>55</v>
      </c>
      <c r="R91" s="1">
        <v>92242000</v>
      </c>
      <c r="S91" s="1"/>
      <c r="V91" s="2"/>
      <c r="W91" s="3"/>
      <c r="X91" s="3">
        <f>SUM(W84:W90)</f>
        <v>40550292</v>
      </c>
      <c r="AA91" t="s">
        <v>67</v>
      </c>
      <c r="AB91" s="1">
        <v>600900</v>
      </c>
      <c r="AC91" s="1"/>
      <c r="AF91" t="s">
        <v>77</v>
      </c>
      <c r="AG91" s="1">
        <v>2750000</v>
      </c>
      <c r="AH91" s="1"/>
      <c r="AK91" t="s">
        <v>50</v>
      </c>
      <c r="AL91" s="1">
        <v>8930616</v>
      </c>
      <c r="AM91" s="1"/>
    </row>
    <row r="92" spans="2:39" x14ac:dyDescent="0.25">
      <c r="B92" t="s">
        <v>93</v>
      </c>
      <c r="C92" s="1">
        <v>6972416</v>
      </c>
      <c r="G92" t="s">
        <v>93</v>
      </c>
      <c r="H92" s="1">
        <v>6972416</v>
      </c>
      <c r="I92" s="1"/>
      <c r="J92" s="1"/>
      <c r="L92" t="s">
        <v>55</v>
      </c>
      <c r="M92" s="1">
        <v>92242000</v>
      </c>
      <c r="N92" s="1"/>
      <c r="O92" s="1"/>
      <c r="Q92" t="s">
        <v>93</v>
      </c>
      <c r="R92" s="1">
        <v>6972416</v>
      </c>
      <c r="S92" s="1"/>
      <c r="V92" s="2" t="s">
        <v>54</v>
      </c>
      <c r="W92" s="3"/>
      <c r="X92" s="3"/>
      <c r="AA92" t="s">
        <v>53</v>
      </c>
      <c r="AB92" s="1">
        <v>19470881</v>
      </c>
      <c r="AC92" s="1"/>
      <c r="AF92" t="s">
        <v>52</v>
      </c>
      <c r="AG92" s="1"/>
      <c r="AH92" s="1"/>
      <c r="AK92" t="s">
        <v>77</v>
      </c>
      <c r="AL92" s="1">
        <v>2750000</v>
      </c>
      <c r="AM92" s="1"/>
    </row>
    <row r="93" spans="2:39" x14ac:dyDescent="0.25">
      <c r="B93" t="s">
        <v>56</v>
      </c>
      <c r="C93" s="1">
        <v>56448</v>
      </c>
      <c r="G93" t="s">
        <v>56</v>
      </c>
      <c r="H93" s="1">
        <v>56448</v>
      </c>
      <c r="I93" s="1"/>
      <c r="J93" s="1"/>
      <c r="L93" t="s">
        <v>93</v>
      </c>
      <c r="M93" s="1">
        <v>6972416</v>
      </c>
      <c r="N93" s="1"/>
      <c r="O93" s="1"/>
      <c r="Q93" t="s">
        <v>56</v>
      </c>
      <c r="R93" s="1">
        <v>56448</v>
      </c>
      <c r="S93" s="1"/>
      <c r="V93" t="s">
        <v>55</v>
      </c>
      <c r="W93" s="1">
        <v>92242000</v>
      </c>
      <c r="X93" s="1"/>
      <c r="AA93" s="2"/>
      <c r="AB93" s="3"/>
      <c r="AC93" s="3">
        <f>SUM(AB86:AB92)</f>
        <v>38310662</v>
      </c>
      <c r="AF93" t="s">
        <v>67</v>
      </c>
      <c r="AG93" s="1">
        <v>600900</v>
      </c>
      <c r="AH93" s="1"/>
      <c r="AK93" t="s">
        <v>52</v>
      </c>
      <c r="AL93" s="1"/>
      <c r="AM93" s="1"/>
    </row>
    <row r="94" spans="2:39" x14ac:dyDescent="0.25">
      <c r="B94" t="s">
        <v>57</v>
      </c>
      <c r="C94" s="1">
        <v>5625000</v>
      </c>
      <c r="G94" t="s">
        <v>57</v>
      </c>
      <c r="H94" s="1">
        <v>5625000</v>
      </c>
      <c r="I94" s="1"/>
      <c r="J94" s="1"/>
      <c r="L94" t="s">
        <v>56</v>
      </c>
      <c r="M94" s="1">
        <v>56448</v>
      </c>
      <c r="N94" s="1"/>
      <c r="O94" s="1"/>
      <c r="Q94" t="s">
        <v>57</v>
      </c>
      <c r="R94" s="1">
        <v>5625000</v>
      </c>
      <c r="S94" s="1"/>
      <c r="V94" t="s">
        <v>93</v>
      </c>
      <c r="W94" s="1">
        <v>6972416</v>
      </c>
      <c r="X94" s="1"/>
      <c r="AA94" s="2" t="s">
        <v>54</v>
      </c>
      <c r="AB94" s="3"/>
      <c r="AC94" s="3"/>
      <c r="AF94" t="s">
        <v>53</v>
      </c>
      <c r="AG94" s="1">
        <v>19470881</v>
      </c>
      <c r="AH94" s="1"/>
      <c r="AK94" t="s">
        <v>67</v>
      </c>
      <c r="AL94" s="1">
        <v>600900</v>
      </c>
      <c r="AM94" s="1"/>
    </row>
    <row r="95" spans="2:39" x14ac:dyDescent="0.25">
      <c r="B95" t="s">
        <v>58</v>
      </c>
      <c r="C95" s="1">
        <v>534750</v>
      </c>
      <c r="G95" t="s">
        <v>58</v>
      </c>
      <c r="H95" s="1">
        <v>534750</v>
      </c>
      <c r="I95" s="1"/>
      <c r="J95" s="1"/>
      <c r="L95" t="s">
        <v>57</v>
      </c>
      <c r="M95" s="1">
        <v>5625000</v>
      </c>
      <c r="N95" s="1"/>
      <c r="O95" s="1"/>
      <c r="Q95" t="s">
        <v>58</v>
      </c>
      <c r="R95" s="1">
        <v>534750</v>
      </c>
      <c r="S95" s="1"/>
      <c r="V95" t="s">
        <v>56</v>
      </c>
      <c r="W95" s="1">
        <v>56448</v>
      </c>
      <c r="X95" s="1"/>
      <c r="AA95" t="s">
        <v>55</v>
      </c>
      <c r="AB95" s="1">
        <v>92242000</v>
      </c>
      <c r="AC95" s="1"/>
      <c r="AF95" s="2"/>
      <c r="AG95" s="3"/>
      <c r="AH95" s="3">
        <f>SUM(AG88:AG94)</f>
        <v>38310662</v>
      </c>
      <c r="AK95" t="s">
        <v>53</v>
      </c>
      <c r="AL95" s="1">
        <v>19470881</v>
      </c>
      <c r="AM95" s="1"/>
    </row>
    <row r="96" spans="2:39" x14ac:dyDescent="0.25">
      <c r="D96" s="1">
        <f>SUM(C91:C95)</f>
        <v>105430614</v>
      </c>
      <c r="H96" s="1"/>
      <c r="I96" s="1">
        <f>SUM(H91:H95)</f>
        <v>105430614</v>
      </c>
      <c r="J96" s="1"/>
      <c r="L96" t="s">
        <v>58</v>
      </c>
      <c r="M96" s="1">
        <v>534750</v>
      </c>
      <c r="N96" s="1"/>
      <c r="O96" s="1"/>
      <c r="R96" s="1"/>
      <c r="S96" s="1">
        <f>SUM(R91:R95)</f>
        <v>105430614</v>
      </c>
      <c r="T96" s="2"/>
      <c r="V96" t="s">
        <v>57</v>
      </c>
      <c r="W96" s="1">
        <v>5625000</v>
      </c>
      <c r="X96" s="1"/>
      <c r="Z96" s="2"/>
      <c r="AA96" t="s">
        <v>93</v>
      </c>
      <c r="AB96" s="1">
        <v>6972416</v>
      </c>
      <c r="AC96" s="1"/>
      <c r="AF96" s="2" t="s">
        <v>54</v>
      </c>
      <c r="AG96" s="3"/>
      <c r="AH96" s="3"/>
      <c r="AK96" s="2"/>
      <c r="AL96" s="3"/>
      <c r="AM96" s="3">
        <f>SUM(AL89:AL95)</f>
        <v>38310662</v>
      </c>
    </row>
    <row r="97" spans="2:39" s="2" customFormat="1" x14ac:dyDescent="0.25">
      <c r="C97" s="3"/>
      <c r="D97" s="3">
        <f>SUM(D66:D96)</f>
        <v>275850626.47000003</v>
      </c>
      <c r="E97" s="3"/>
      <c r="H97" s="3"/>
      <c r="I97" s="3">
        <f>SUM(I61:I96)</f>
        <v>266531559.64999998</v>
      </c>
      <c r="J97" s="3"/>
      <c r="K97"/>
      <c r="L97"/>
      <c r="M97" s="1"/>
      <c r="N97" s="1">
        <f>SUM(M92:M96)</f>
        <v>105430614</v>
      </c>
      <c r="O97" s="1"/>
      <c r="P97"/>
      <c r="R97" s="3"/>
      <c r="S97" s="3">
        <f>SUM(S61:S96)</f>
        <v>272259993.76999998</v>
      </c>
      <c r="V97" t="s">
        <v>58</v>
      </c>
      <c r="W97" s="1">
        <v>534750</v>
      </c>
      <c r="X97" s="1"/>
      <c r="AA97" t="s">
        <v>56</v>
      </c>
      <c r="AB97" s="1">
        <v>56448</v>
      </c>
      <c r="AC97" s="1"/>
      <c r="AF97" t="s">
        <v>55</v>
      </c>
      <c r="AG97" s="1">
        <v>92242000</v>
      </c>
      <c r="AH97" s="1"/>
      <c r="AK97" s="2" t="s">
        <v>54</v>
      </c>
      <c r="AL97" s="3"/>
      <c r="AM97" s="3"/>
    </row>
    <row r="98" spans="2:39" s="2" customFormat="1" x14ac:dyDescent="0.25">
      <c r="B98" s="2" t="s">
        <v>59</v>
      </c>
      <c r="C98" s="3"/>
      <c r="D98" s="3"/>
      <c r="E98" s="3"/>
      <c r="G98" s="2" t="s">
        <v>59</v>
      </c>
      <c r="H98" s="3"/>
      <c r="I98" s="3"/>
      <c r="J98" s="3"/>
      <c r="M98" s="3"/>
      <c r="N98" s="3">
        <f>SUM(N61:N97)</f>
        <v>277456463.69999999</v>
      </c>
      <c r="O98" s="3"/>
      <c r="Q98" s="2" t="s">
        <v>59</v>
      </c>
      <c r="R98" s="3"/>
      <c r="S98" s="3"/>
      <c r="T98"/>
      <c r="V98"/>
      <c r="W98" s="1"/>
      <c r="X98" s="1">
        <f>SUM(W93:W97)</f>
        <v>105430614</v>
      </c>
      <c r="Z98"/>
      <c r="AA98" t="s">
        <v>57</v>
      </c>
      <c r="AB98" s="1">
        <v>5625000</v>
      </c>
      <c r="AC98" s="1"/>
      <c r="AF98" t="s">
        <v>93</v>
      </c>
      <c r="AG98" s="1">
        <v>6972416</v>
      </c>
      <c r="AH98" s="1"/>
      <c r="AK98" t="s">
        <v>55</v>
      </c>
      <c r="AL98" s="1">
        <v>92242000</v>
      </c>
      <c r="AM98" s="1"/>
    </row>
    <row r="99" spans="2:39" x14ac:dyDescent="0.25">
      <c r="B99" t="s">
        <v>60</v>
      </c>
      <c r="D99" s="1">
        <v>77513410.980000004</v>
      </c>
      <c r="G99" t="s">
        <v>60</v>
      </c>
      <c r="H99" s="1"/>
      <c r="I99" s="1">
        <v>77513410.980000004</v>
      </c>
      <c r="J99" s="1"/>
      <c r="K99" s="2"/>
      <c r="L99" s="2" t="s">
        <v>59</v>
      </c>
      <c r="M99" s="3"/>
      <c r="N99" s="3"/>
      <c r="O99" s="3"/>
      <c r="P99" s="2"/>
      <c r="Q99" t="s">
        <v>60</v>
      </c>
      <c r="R99" s="1"/>
      <c r="S99" s="1">
        <v>76130470.549999997</v>
      </c>
      <c r="V99" s="2"/>
      <c r="W99" s="3"/>
      <c r="X99" s="3">
        <f>SUM(X61:X98)</f>
        <v>240607417.05000001</v>
      </c>
      <c r="AA99" t="s">
        <v>58</v>
      </c>
      <c r="AB99" s="1">
        <v>534750</v>
      </c>
      <c r="AC99" s="1"/>
      <c r="AF99" t="s">
        <v>56</v>
      </c>
      <c r="AG99" s="1">
        <v>56448</v>
      </c>
      <c r="AH99" s="1"/>
      <c r="AK99" t="s">
        <v>93</v>
      </c>
      <c r="AL99" s="1">
        <v>6972416</v>
      </c>
      <c r="AM99" s="1"/>
    </row>
    <row r="100" spans="2:39" x14ac:dyDescent="0.25">
      <c r="B100" t="s">
        <v>61</v>
      </c>
      <c r="D100" s="1">
        <v>4176893</v>
      </c>
      <c r="G100" t="s">
        <v>61</v>
      </c>
      <c r="H100" s="1"/>
      <c r="I100" s="1">
        <v>4176893</v>
      </c>
      <c r="J100" s="1"/>
      <c r="L100" t="s">
        <v>60</v>
      </c>
      <c r="M100" s="1"/>
      <c r="N100" s="1">
        <v>77513410.980000004</v>
      </c>
      <c r="O100" s="1"/>
      <c r="Q100" t="s">
        <v>61</v>
      </c>
      <c r="R100" s="1"/>
      <c r="S100" s="1">
        <v>2776893</v>
      </c>
      <c r="V100" s="2" t="s">
        <v>59</v>
      </c>
      <c r="W100" s="3"/>
      <c r="X100" s="3"/>
      <c r="AB100" s="1"/>
      <c r="AC100" s="1">
        <f>SUM(AB95:AB99)</f>
        <v>105430614</v>
      </c>
      <c r="AF100" t="s">
        <v>57</v>
      </c>
      <c r="AG100" s="1">
        <v>5625000</v>
      </c>
      <c r="AH100" s="1"/>
      <c r="AK100" t="s">
        <v>56</v>
      </c>
      <c r="AL100" s="1">
        <v>56448</v>
      </c>
      <c r="AM100" s="1"/>
    </row>
    <row r="101" spans="2:39" x14ac:dyDescent="0.25">
      <c r="B101" t="s">
        <v>62</v>
      </c>
      <c r="D101" s="1">
        <v>2000000</v>
      </c>
      <c r="G101" t="s">
        <v>62</v>
      </c>
      <c r="H101" s="1"/>
      <c r="I101" s="1">
        <v>2000000</v>
      </c>
      <c r="J101" s="1"/>
      <c r="L101" t="s">
        <v>61</v>
      </c>
      <c r="M101" s="1"/>
      <c r="N101" s="1">
        <v>4176893</v>
      </c>
      <c r="O101" s="1"/>
      <c r="Q101" t="s">
        <v>62</v>
      </c>
      <c r="R101" s="1"/>
      <c r="S101" s="1">
        <v>2000000</v>
      </c>
      <c r="V101" t="s">
        <v>60</v>
      </c>
      <c r="W101" s="1"/>
      <c r="X101" s="1">
        <v>74750530.549999997</v>
      </c>
      <c r="AA101" s="2"/>
      <c r="AB101" s="3"/>
      <c r="AC101" s="3">
        <f>SUM(AC62:AC100)</f>
        <v>243929108.05000001</v>
      </c>
      <c r="AF101" t="s">
        <v>58</v>
      </c>
      <c r="AG101" s="1">
        <v>534750</v>
      </c>
      <c r="AH101" s="1"/>
      <c r="AK101" t="s">
        <v>57</v>
      </c>
      <c r="AL101" s="1">
        <v>5625000</v>
      </c>
      <c r="AM101" s="1"/>
    </row>
    <row r="102" spans="2:39" x14ac:dyDescent="0.25">
      <c r="B102" t="s">
        <v>63</v>
      </c>
      <c r="D102" s="1">
        <v>317200</v>
      </c>
      <c r="G102" t="s">
        <v>63</v>
      </c>
      <c r="H102" s="1"/>
      <c r="I102" s="1">
        <v>317200</v>
      </c>
      <c r="J102" s="1"/>
      <c r="L102" t="s">
        <v>62</v>
      </c>
      <c r="M102" s="1"/>
      <c r="N102" s="1">
        <v>2000000</v>
      </c>
      <c r="O102" s="1"/>
      <c r="Q102" t="s">
        <v>63</v>
      </c>
      <c r="R102" s="1"/>
      <c r="S102" s="1">
        <v>317200</v>
      </c>
      <c r="V102" t="s">
        <v>61</v>
      </c>
      <c r="W102" s="1"/>
      <c r="X102" s="1">
        <v>2776893</v>
      </c>
      <c r="AA102" s="2" t="s">
        <v>59</v>
      </c>
      <c r="AB102" s="3"/>
      <c r="AC102" s="3"/>
      <c r="AG102" s="1"/>
      <c r="AH102" s="1">
        <f>SUM(AG97:AG101)</f>
        <v>105430614</v>
      </c>
      <c r="AK102" t="s">
        <v>58</v>
      </c>
      <c r="AL102" s="1">
        <v>534750</v>
      </c>
      <c r="AM102" s="1"/>
    </row>
    <row r="103" spans="2:39" x14ac:dyDescent="0.25">
      <c r="B103" t="s">
        <v>64</v>
      </c>
      <c r="D103" s="1">
        <v>750000</v>
      </c>
      <c r="G103" t="s">
        <v>64</v>
      </c>
      <c r="H103" s="1"/>
      <c r="I103" s="1">
        <v>750000</v>
      </c>
      <c r="J103" s="1"/>
      <c r="L103" t="s">
        <v>63</v>
      </c>
      <c r="M103" s="1"/>
      <c r="N103" s="1">
        <v>317200</v>
      </c>
      <c r="O103" s="1"/>
      <c r="Q103" t="s">
        <v>64</v>
      </c>
      <c r="R103" s="1"/>
      <c r="S103" s="1">
        <v>750000</v>
      </c>
      <c r="V103" t="s">
        <v>63</v>
      </c>
      <c r="W103" s="1"/>
      <c r="X103" s="1">
        <v>317200</v>
      </c>
      <c r="AA103" t="s">
        <v>60</v>
      </c>
      <c r="AB103" s="1"/>
      <c r="AC103" s="1">
        <v>74750530.549999997</v>
      </c>
      <c r="AF103" s="2"/>
      <c r="AG103" s="3"/>
      <c r="AH103" s="3">
        <f>SUM(AH62:AH102)</f>
        <v>248273422.69999999</v>
      </c>
      <c r="AL103" s="1"/>
      <c r="AM103" s="1">
        <f>SUM(AL98:AL102)</f>
        <v>105430614</v>
      </c>
    </row>
    <row r="104" spans="2:39" x14ac:dyDescent="0.25">
      <c r="B104" t="s">
        <v>65</v>
      </c>
      <c r="D104" s="1">
        <v>22142100</v>
      </c>
      <c r="G104" t="s">
        <v>65</v>
      </c>
      <c r="H104" s="1"/>
      <c r="I104" s="1">
        <v>15898000</v>
      </c>
      <c r="J104" s="1"/>
      <c r="L104" t="s">
        <v>64</v>
      </c>
      <c r="M104" s="1"/>
      <c r="N104" s="1">
        <v>750000</v>
      </c>
      <c r="O104" s="1"/>
      <c r="Q104" t="s">
        <v>65</v>
      </c>
      <c r="R104" s="1"/>
      <c r="S104" s="1">
        <v>3516700</v>
      </c>
      <c r="V104" t="s">
        <v>64</v>
      </c>
      <c r="W104" s="1"/>
      <c r="X104" s="1">
        <v>750000</v>
      </c>
      <c r="AA104" t="s">
        <v>61</v>
      </c>
      <c r="AB104" s="1"/>
      <c r="AC104" s="1">
        <v>2776893</v>
      </c>
      <c r="AF104" s="2" t="s">
        <v>59</v>
      </c>
      <c r="AG104" s="3"/>
      <c r="AH104" s="3"/>
      <c r="AK104" s="2"/>
      <c r="AL104" s="3"/>
      <c r="AM104" s="3">
        <f>SUM(AM62:AM103)</f>
        <v>255786105.05000001</v>
      </c>
    </row>
    <row r="105" spans="2:39" x14ac:dyDescent="0.25">
      <c r="B105" t="s">
        <v>66</v>
      </c>
      <c r="D105" s="1">
        <v>300000</v>
      </c>
      <c r="G105" t="s">
        <v>66</v>
      </c>
      <c r="H105" s="1"/>
      <c r="I105" s="1">
        <v>300000</v>
      </c>
      <c r="J105" s="1"/>
      <c r="L105" t="s">
        <v>65</v>
      </c>
      <c r="M105" s="1"/>
      <c r="N105" s="1">
        <v>14552750</v>
      </c>
      <c r="O105" s="1"/>
      <c r="Q105" t="s">
        <v>66</v>
      </c>
      <c r="R105" s="1"/>
      <c r="S105" s="1">
        <v>300000</v>
      </c>
      <c r="V105" t="s">
        <v>65</v>
      </c>
      <c r="W105" s="1"/>
      <c r="X105" s="1">
        <v>8302480</v>
      </c>
      <c r="AA105" t="s">
        <v>63</v>
      </c>
      <c r="AB105" s="1"/>
      <c r="AC105" s="1">
        <v>317200</v>
      </c>
      <c r="AF105" t="s">
        <v>60</v>
      </c>
      <c r="AG105" s="1"/>
      <c r="AH105" s="1">
        <v>74750530.549999997</v>
      </c>
      <c r="AK105" s="2" t="s">
        <v>59</v>
      </c>
      <c r="AL105" s="3"/>
      <c r="AM105" s="3"/>
    </row>
    <row r="106" spans="2:39" x14ac:dyDescent="0.25">
      <c r="B106" t="s">
        <v>67</v>
      </c>
      <c r="D106" s="1">
        <v>17345493.23</v>
      </c>
      <c r="G106" t="s">
        <v>67</v>
      </c>
      <c r="H106" s="1"/>
      <c r="I106" s="1">
        <v>17345493.23</v>
      </c>
      <c r="J106" s="1"/>
      <c r="L106" t="s">
        <v>66</v>
      </c>
      <c r="M106" s="1"/>
      <c r="N106" s="1">
        <v>300000</v>
      </c>
      <c r="O106" s="1"/>
      <c r="Q106" t="s">
        <v>67</v>
      </c>
      <c r="R106" s="1"/>
      <c r="S106" s="1">
        <v>6505043.2800000003</v>
      </c>
      <c r="V106" t="s">
        <v>66</v>
      </c>
      <c r="W106" s="1"/>
      <c r="X106" s="1">
        <v>300000</v>
      </c>
      <c r="AA106" t="s">
        <v>64</v>
      </c>
      <c r="AB106" s="1"/>
      <c r="AC106" s="1">
        <v>750000</v>
      </c>
      <c r="AF106" t="s">
        <v>61</v>
      </c>
      <c r="AG106" s="1"/>
      <c r="AH106" s="1">
        <v>2776893</v>
      </c>
      <c r="AK106" t="s">
        <v>60</v>
      </c>
      <c r="AL106" s="1"/>
      <c r="AM106" s="1">
        <v>74750530.549999997</v>
      </c>
    </row>
    <row r="107" spans="2:39" x14ac:dyDescent="0.25">
      <c r="B107" t="s">
        <v>70</v>
      </c>
      <c r="D107" s="1">
        <v>1000000</v>
      </c>
      <c r="G107" t="s">
        <v>78</v>
      </c>
      <c r="H107" s="1"/>
      <c r="I107" s="1">
        <v>659600</v>
      </c>
      <c r="J107" s="1"/>
      <c r="L107" t="s">
        <v>67</v>
      </c>
      <c r="M107" s="1"/>
      <c r="N107" s="1">
        <v>6905043.2800000003</v>
      </c>
      <c r="O107" s="1"/>
      <c r="Q107" t="s">
        <v>78</v>
      </c>
      <c r="R107" s="1"/>
      <c r="S107" s="1">
        <v>659600</v>
      </c>
      <c r="V107" t="s">
        <v>67</v>
      </c>
      <c r="W107" s="1"/>
      <c r="X107" s="1">
        <v>6355043</v>
      </c>
      <c r="AA107" t="s">
        <v>65</v>
      </c>
      <c r="AB107" s="1"/>
      <c r="AC107" s="1">
        <v>6231520</v>
      </c>
      <c r="AF107" t="s">
        <v>79</v>
      </c>
      <c r="AH107" s="1">
        <v>3800000</v>
      </c>
      <c r="AK107" t="s">
        <v>61</v>
      </c>
      <c r="AL107" s="1"/>
      <c r="AM107" s="1">
        <v>2776893</v>
      </c>
    </row>
    <row r="108" spans="2:39" x14ac:dyDescent="0.25">
      <c r="D108" s="1">
        <f>SUM(D99:D107)</f>
        <v>125545097.21000001</v>
      </c>
      <c r="G108" t="s">
        <v>79</v>
      </c>
      <c r="I108" s="1">
        <v>3800000</v>
      </c>
      <c r="J108" s="1"/>
      <c r="L108" t="s">
        <v>78</v>
      </c>
      <c r="M108" s="1"/>
      <c r="N108" s="1">
        <v>659600</v>
      </c>
      <c r="O108" s="1"/>
      <c r="Q108" t="s">
        <v>79</v>
      </c>
      <c r="S108" s="1">
        <v>3800000</v>
      </c>
      <c r="V108" t="s">
        <v>78</v>
      </c>
      <c r="W108" s="1"/>
      <c r="X108" s="1">
        <v>659600</v>
      </c>
      <c r="AA108" t="s">
        <v>151</v>
      </c>
      <c r="AB108" s="1"/>
      <c r="AC108" s="1">
        <v>1174300</v>
      </c>
      <c r="AF108" t="s">
        <v>63</v>
      </c>
      <c r="AG108" s="1"/>
      <c r="AH108" s="1">
        <v>317200</v>
      </c>
      <c r="AK108" t="s">
        <v>79</v>
      </c>
      <c r="AM108" s="1">
        <v>3800000</v>
      </c>
    </row>
    <row r="109" spans="2:39" x14ac:dyDescent="0.25">
      <c r="D109" s="3">
        <f>D97-D108</f>
        <v>150305529.26000002</v>
      </c>
      <c r="E109" s="3"/>
      <c r="G109" t="s">
        <v>80</v>
      </c>
      <c r="I109" s="1">
        <v>600000</v>
      </c>
      <c r="J109" s="1"/>
      <c r="L109" t="s">
        <v>79</v>
      </c>
      <c r="N109" s="1">
        <v>3800000</v>
      </c>
      <c r="O109" s="1"/>
      <c r="Q109" t="s">
        <v>95</v>
      </c>
      <c r="S109" s="1">
        <v>5286700</v>
      </c>
      <c r="V109" t="s">
        <v>79</v>
      </c>
      <c r="X109" s="1">
        <v>3800000</v>
      </c>
      <c r="AA109" t="s">
        <v>66</v>
      </c>
      <c r="AB109" s="1"/>
      <c r="AC109" s="1">
        <v>300000</v>
      </c>
      <c r="AF109" t="s">
        <v>64</v>
      </c>
      <c r="AG109" s="1"/>
      <c r="AH109" s="1">
        <v>750000</v>
      </c>
      <c r="AK109" t="s">
        <v>63</v>
      </c>
      <c r="AL109" s="1"/>
      <c r="AM109" s="1">
        <v>317200</v>
      </c>
    </row>
    <row r="110" spans="2:39" x14ac:dyDescent="0.25">
      <c r="I110" s="1">
        <f>SUM(I99:I109)</f>
        <v>123360597.21000001</v>
      </c>
      <c r="J110" s="1"/>
      <c r="L110" t="s">
        <v>80</v>
      </c>
      <c r="N110" s="1">
        <v>200000</v>
      </c>
      <c r="O110" s="1"/>
      <c r="Q110" t="s">
        <v>84</v>
      </c>
      <c r="S110" s="1">
        <v>500000</v>
      </c>
      <c r="V110" t="s">
        <v>84</v>
      </c>
      <c r="X110" s="1">
        <v>500000</v>
      </c>
      <c r="AA110" t="s">
        <v>67</v>
      </c>
      <c r="AB110" s="1"/>
      <c r="AC110" s="1">
        <v>5858043</v>
      </c>
      <c r="AF110" t="s">
        <v>65</v>
      </c>
      <c r="AG110" s="1"/>
      <c r="AH110" s="1">
        <v>0</v>
      </c>
      <c r="AK110" t="s">
        <v>64</v>
      </c>
      <c r="AL110" s="1"/>
      <c r="AM110" s="1">
        <v>750000</v>
      </c>
    </row>
    <row r="111" spans="2:39" x14ac:dyDescent="0.25">
      <c r="I111" s="3">
        <f>I97-I110</f>
        <v>143170962.43999997</v>
      </c>
      <c r="J111" s="3"/>
      <c r="L111" t="s">
        <v>84</v>
      </c>
      <c r="N111" s="1">
        <v>500000</v>
      </c>
      <c r="O111" s="1"/>
      <c r="Q111" t="s">
        <v>85</v>
      </c>
      <c r="S111" s="1">
        <v>1000000</v>
      </c>
      <c r="V111" t="s">
        <v>85</v>
      </c>
      <c r="X111" s="1">
        <v>1000000</v>
      </c>
      <c r="AA111" t="s">
        <v>78</v>
      </c>
      <c r="AB111" s="1"/>
      <c r="AC111" s="1">
        <v>659600</v>
      </c>
      <c r="AF111" t="s">
        <v>66</v>
      </c>
      <c r="AG111" s="1"/>
      <c r="AH111" s="1">
        <v>300000</v>
      </c>
      <c r="AK111" t="s">
        <v>65</v>
      </c>
      <c r="AL111" s="1"/>
      <c r="AM111" s="1">
        <v>4712853</v>
      </c>
    </row>
    <row r="112" spans="2:39" x14ac:dyDescent="0.25">
      <c r="L112" t="s">
        <v>85</v>
      </c>
      <c r="N112" s="1">
        <v>1000000</v>
      </c>
      <c r="O112" s="1"/>
      <c r="Q112" t="s">
        <v>96</v>
      </c>
      <c r="S112" s="1">
        <v>190000</v>
      </c>
      <c r="V112" t="s">
        <v>99</v>
      </c>
      <c r="X112" s="1">
        <v>2000000</v>
      </c>
      <c r="AA112" t="s">
        <v>79</v>
      </c>
      <c r="AC112" s="1">
        <v>3800000</v>
      </c>
      <c r="AF112" t="s">
        <v>67</v>
      </c>
      <c r="AG112" s="1"/>
      <c r="AH112" s="1">
        <v>5858043</v>
      </c>
      <c r="AK112" t="s">
        <v>66</v>
      </c>
      <c r="AL112" s="1"/>
      <c r="AM112" s="1">
        <v>300000</v>
      </c>
    </row>
    <row r="113" spans="12:39" x14ac:dyDescent="0.25">
      <c r="L113" t="s">
        <v>86</v>
      </c>
      <c r="N113" s="1">
        <v>20750000</v>
      </c>
      <c r="O113" s="1"/>
      <c r="Q113" t="s">
        <v>97</v>
      </c>
      <c r="S113" s="1">
        <v>27000</v>
      </c>
      <c r="V113" t="s">
        <v>86</v>
      </c>
      <c r="X113" s="1">
        <v>978812</v>
      </c>
      <c r="AA113" t="s">
        <v>84</v>
      </c>
      <c r="AC113" s="1">
        <v>500000</v>
      </c>
      <c r="AF113" t="s">
        <v>78</v>
      </c>
      <c r="AG113" s="1"/>
      <c r="AH113" s="1">
        <v>659600</v>
      </c>
      <c r="AK113" t="s">
        <v>67</v>
      </c>
      <c r="AL113" s="1"/>
      <c r="AM113" s="1">
        <v>5858043</v>
      </c>
    </row>
    <row r="114" spans="12:39" x14ac:dyDescent="0.25">
      <c r="L114" t="s">
        <v>87</v>
      </c>
      <c r="N114" s="1">
        <v>500000</v>
      </c>
      <c r="O114" s="1"/>
      <c r="Q114" t="s">
        <v>98</v>
      </c>
      <c r="S114" s="1">
        <v>3000000</v>
      </c>
      <c r="V114" t="s">
        <v>107</v>
      </c>
      <c r="X114" s="1">
        <v>700000</v>
      </c>
      <c r="AA114" t="s">
        <v>85</v>
      </c>
      <c r="AC114" s="1">
        <v>1000000</v>
      </c>
      <c r="AF114" t="s">
        <v>84</v>
      </c>
      <c r="AH114" s="1">
        <v>500000</v>
      </c>
      <c r="AK114" t="s">
        <v>78</v>
      </c>
      <c r="AL114" s="1"/>
      <c r="AM114" s="1">
        <v>659600</v>
      </c>
    </row>
    <row r="115" spans="12:39" x14ac:dyDescent="0.25">
      <c r="L115" t="s">
        <v>88</v>
      </c>
      <c r="N115" s="1">
        <v>3506000</v>
      </c>
      <c r="O115" s="1"/>
      <c r="Q115" t="s">
        <v>99</v>
      </c>
      <c r="S115" s="1">
        <v>2000000</v>
      </c>
      <c r="V115" t="s">
        <v>108</v>
      </c>
      <c r="X115" s="1">
        <v>1300000</v>
      </c>
      <c r="AA115" t="s">
        <v>99</v>
      </c>
      <c r="AC115" s="1">
        <v>2000000</v>
      </c>
      <c r="AF115" t="s">
        <v>85</v>
      </c>
      <c r="AH115" s="1">
        <v>1000000</v>
      </c>
      <c r="AK115" t="s">
        <v>163</v>
      </c>
      <c r="AM115" s="10">
        <v>12410000</v>
      </c>
    </row>
    <row r="116" spans="12:39" x14ac:dyDescent="0.25">
      <c r="N116" s="1">
        <f>SUM(N100:N115)</f>
        <v>137430897.25999999</v>
      </c>
      <c r="O116" s="1"/>
      <c r="Q116" t="s">
        <v>100</v>
      </c>
      <c r="S116" s="1">
        <v>1120000</v>
      </c>
      <c r="V116" t="s">
        <v>109</v>
      </c>
      <c r="X116" s="1">
        <v>662000</v>
      </c>
      <c r="AA116" t="s">
        <v>155</v>
      </c>
      <c r="AC116" s="1">
        <v>325450</v>
      </c>
      <c r="AF116" t="s">
        <v>99</v>
      </c>
      <c r="AH116" s="1">
        <v>2000000</v>
      </c>
      <c r="AK116" t="s">
        <v>85</v>
      </c>
      <c r="AM116" s="1">
        <v>1000000</v>
      </c>
    </row>
    <row r="117" spans="12:39" x14ac:dyDescent="0.25">
      <c r="N117" s="3">
        <f>N98-N116</f>
        <v>140025566.44</v>
      </c>
      <c r="O117" s="3"/>
      <c r="Q117" t="s">
        <v>86</v>
      </c>
      <c r="S117" s="1">
        <v>20589800</v>
      </c>
      <c r="V117" t="s">
        <v>110</v>
      </c>
      <c r="X117" s="1">
        <v>2000000</v>
      </c>
      <c r="AA117" t="s">
        <v>156</v>
      </c>
      <c r="AC117" s="1">
        <v>1169000</v>
      </c>
      <c r="AF117" t="s">
        <v>156</v>
      </c>
      <c r="AH117" s="1">
        <v>1169000</v>
      </c>
      <c r="AK117" t="s">
        <v>99</v>
      </c>
      <c r="AM117" s="1">
        <v>2000000</v>
      </c>
    </row>
    <row r="118" spans="12:39" x14ac:dyDescent="0.25">
      <c r="S118" s="1">
        <f>SUM(S99:S117)</f>
        <v>130469406.83</v>
      </c>
      <c r="V118" t="s">
        <v>111</v>
      </c>
      <c r="X118" s="1">
        <v>550000</v>
      </c>
      <c r="AA118" t="s">
        <v>109</v>
      </c>
      <c r="AC118" s="1">
        <v>662000</v>
      </c>
      <c r="AF118" t="s">
        <v>109</v>
      </c>
      <c r="AH118" s="1">
        <v>662000</v>
      </c>
      <c r="AK118" t="s">
        <v>109</v>
      </c>
      <c r="AM118" s="1">
        <v>662000</v>
      </c>
    </row>
    <row r="119" spans="12:39" x14ac:dyDescent="0.25">
      <c r="S119" s="3">
        <f>S97-S118</f>
        <v>141790586.94</v>
      </c>
      <c r="X119" s="1">
        <f>SUM(X101:X118)</f>
        <v>107702558.55</v>
      </c>
      <c r="AC119" s="1"/>
      <c r="AH119" s="1"/>
      <c r="AK119" t="s">
        <v>164</v>
      </c>
      <c r="AM119" s="1">
        <v>328500</v>
      </c>
    </row>
    <row r="120" spans="12:39" x14ac:dyDescent="0.25">
      <c r="X120" s="3">
        <f>X99-X119</f>
        <v>132904858.50000001</v>
      </c>
      <c r="AC120" s="1">
        <f>SUM(AC103:AC119)</f>
        <v>102274536.55</v>
      </c>
      <c r="AH120" s="1">
        <f>SUM(AH105:AH119)</f>
        <v>94543266.549999997</v>
      </c>
      <c r="AM120" s="1">
        <f>SUM(AM106:AM119)</f>
        <v>110325619.55</v>
      </c>
    </row>
    <row r="121" spans="12:39" x14ac:dyDescent="0.25">
      <c r="AC121" s="3">
        <f>AC101-AC120</f>
        <v>141654571.5</v>
      </c>
      <c r="AH121" s="3">
        <f>AH103-AH120</f>
        <v>153730156.14999998</v>
      </c>
      <c r="AM121" s="3">
        <f>AM104-AM120</f>
        <v>145460485.5</v>
      </c>
    </row>
  </sheetData>
  <mergeCells count="48">
    <mergeCell ref="AF61:AH61"/>
    <mergeCell ref="AF1:AH1"/>
    <mergeCell ref="AF2:AH2"/>
    <mergeCell ref="AF23:AH23"/>
    <mergeCell ref="AF24:AH24"/>
    <mergeCell ref="AF60:AH60"/>
    <mergeCell ref="AA61:AC61"/>
    <mergeCell ref="AA1:AC1"/>
    <mergeCell ref="AA2:AC2"/>
    <mergeCell ref="AA23:AC23"/>
    <mergeCell ref="AA24:AC24"/>
    <mergeCell ref="AA60:AC60"/>
    <mergeCell ref="L60:N60"/>
    <mergeCell ref="L1:N1"/>
    <mergeCell ref="L2:N2"/>
    <mergeCell ref="L23:N23"/>
    <mergeCell ref="L24:N24"/>
    <mergeCell ref="L59:N59"/>
    <mergeCell ref="B60:D60"/>
    <mergeCell ref="G1:I1"/>
    <mergeCell ref="G2:I2"/>
    <mergeCell ref="G23:I23"/>
    <mergeCell ref="G24:I24"/>
    <mergeCell ref="G59:I59"/>
    <mergeCell ref="G60:I60"/>
    <mergeCell ref="B1:D1"/>
    <mergeCell ref="B2:D2"/>
    <mergeCell ref="B23:D23"/>
    <mergeCell ref="B24:D24"/>
    <mergeCell ref="B59:D59"/>
    <mergeCell ref="Q60:S60"/>
    <mergeCell ref="Q1:S1"/>
    <mergeCell ref="Q2:S2"/>
    <mergeCell ref="Q23:S23"/>
    <mergeCell ref="Q24:S24"/>
    <mergeCell ref="Q59:S59"/>
    <mergeCell ref="V60:X60"/>
    <mergeCell ref="V1:X1"/>
    <mergeCell ref="V2:X2"/>
    <mergeCell ref="V23:X23"/>
    <mergeCell ref="V24:X24"/>
    <mergeCell ref="V59:X59"/>
    <mergeCell ref="AK61:AM61"/>
    <mergeCell ref="AK1:AM1"/>
    <mergeCell ref="AK2:AM2"/>
    <mergeCell ref="AK23:AM23"/>
    <mergeCell ref="AK24:AM24"/>
    <mergeCell ref="AK60:AM6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D004-C55D-4F7E-9162-008B624B6506}">
  <dimension ref="A1:AY120"/>
  <sheetViews>
    <sheetView topLeftCell="Z1" zoomScale="110" zoomScaleNormal="70" workbookViewId="0">
      <selection activeCell="AE120" sqref="AE120"/>
    </sheetView>
  </sheetViews>
  <sheetFormatPr defaultRowHeight="15" x14ac:dyDescent="0.25"/>
  <cols>
    <col min="1" max="1" width="26.7109375" bestFit="1" customWidth="1"/>
    <col min="2" max="2" width="18.7109375" bestFit="1" customWidth="1"/>
    <col min="3" max="3" width="18.85546875" bestFit="1" customWidth="1"/>
    <col min="5" max="5" width="27.7109375" bestFit="1" customWidth="1"/>
    <col min="6" max="6" width="17.5703125" bestFit="1" customWidth="1"/>
    <col min="7" max="7" width="18.85546875" bestFit="1" customWidth="1"/>
    <col min="9" max="9" width="26.7109375" bestFit="1" customWidth="1"/>
    <col min="10" max="11" width="17.28515625" bestFit="1" customWidth="1"/>
    <col min="12" max="12" width="13.5703125" bestFit="1" customWidth="1"/>
    <col min="13" max="13" width="26.7109375" bestFit="1" customWidth="1"/>
    <col min="14" max="15" width="17.28515625" bestFit="1" customWidth="1"/>
    <col min="17" max="17" width="26.7109375" bestFit="1" customWidth="1"/>
    <col min="18" max="19" width="17.28515625" bestFit="1" customWidth="1"/>
    <col min="20" max="20" width="11.140625" customWidth="1"/>
    <col min="21" max="21" width="26.7109375" bestFit="1" customWidth="1"/>
    <col min="22" max="23" width="17.28515625" bestFit="1" customWidth="1"/>
    <col min="24" max="24" width="16.140625" bestFit="1" customWidth="1"/>
    <col min="25" max="25" width="26.7109375" bestFit="1" customWidth="1"/>
    <col min="26" max="27" width="17.28515625" bestFit="1" customWidth="1"/>
    <col min="28" max="28" width="16.140625" bestFit="1" customWidth="1"/>
    <col min="29" max="29" width="26.7109375" bestFit="1" customWidth="1"/>
    <col min="30" max="31" width="17.28515625" bestFit="1" customWidth="1"/>
    <col min="34" max="34" width="26.7109375" bestFit="1" customWidth="1"/>
    <col min="35" max="36" width="17.28515625" bestFit="1" customWidth="1"/>
    <col min="38" max="38" width="16.7109375" bestFit="1" customWidth="1"/>
    <col min="39" max="39" width="23.5703125" bestFit="1" customWidth="1"/>
    <col min="40" max="41" width="17.28515625" bestFit="1" customWidth="1"/>
    <col min="44" max="44" width="23.5703125" bestFit="1" customWidth="1"/>
    <col min="45" max="46" width="17.28515625" bestFit="1" customWidth="1"/>
    <col min="49" max="49" width="23.5703125" bestFit="1" customWidth="1"/>
    <col min="50" max="51" width="17.28515625" bestFit="1" customWidth="1"/>
    <col min="54" max="54" width="23.5703125" bestFit="1" customWidth="1"/>
    <col min="55" max="55" width="16.140625" bestFit="1" customWidth="1"/>
    <col min="56" max="56" width="17.28515625" bestFit="1" customWidth="1"/>
  </cols>
  <sheetData>
    <row r="1" spans="1:51" x14ac:dyDescent="0.25">
      <c r="AW1" s="42" t="s">
        <v>71</v>
      </c>
      <c r="AX1" s="42"/>
      <c r="AY1" s="42"/>
    </row>
    <row r="2" spans="1:51" x14ac:dyDescent="0.25">
      <c r="A2" s="42" t="s">
        <v>71</v>
      </c>
      <c r="B2" s="42"/>
      <c r="C2" s="42"/>
      <c r="E2" s="42" t="s">
        <v>71</v>
      </c>
      <c r="F2" s="42"/>
      <c r="G2" s="42"/>
      <c r="I2" s="42" t="s">
        <v>71</v>
      </c>
      <c r="J2" s="42"/>
      <c r="K2" s="42"/>
      <c r="M2" s="42" t="s">
        <v>71</v>
      </c>
      <c r="N2" s="42"/>
      <c r="O2" s="42"/>
      <c r="Q2" s="42" t="s">
        <v>71</v>
      </c>
      <c r="R2" s="42"/>
      <c r="S2" s="42"/>
      <c r="U2" s="42" t="s">
        <v>71</v>
      </c>
      <c r="V2" s="42"/>
      <c r="W2" s="42"/>
      <c r="Y2" s="42" t="s">
        <v>71</v>
      </c>
      <c r="Z2" s="42"/>
      <c r="AA2" s="42"/>
      <c r="AC2" s="42" t="s">
        <v>71</v>
      </c>
      <c r="AD2" s="42"/>
      <c r="AE2" s="42"/>
      <c r="AH2" s="42" t="s">
        <v>71</v>
      </c>
      <c r="AI2" s="42"/>
      <c r="AJ2" s="42"/>
      <c r="AM2" s="42" t="s">
        <v>71</v>
      </c>
      <c r="AN2" s="42"/>
      <c r="AO2" s="42"/>
      <c r="AR2" s="42" t="s">
        <v>71</v>
      </c>
      <c r="AS2" s="42"/>
      <c r="AT2" s="42"/>
      <c r="AW2" s="42" t="s">
        <v>161</v>
      </c>
      <c r="AX2" s="42"/>
      <c r="AY2" s="42"/>
    </row>
    <row r="3" spans="1:51" x14ac:dyDescent="0.25">
      <c r="A3" s="42" t="s">
        <v>171</v>
      </c>
      <c r="B3" s="42"/>
      <c r="C3" s="42"/>
      <c r="E3" s="42" t="s">
        <v>174</v>
      </c>
      <c r="F3" s="42"/>
      <c r="G3" s="42"/>
      <c r="I3" s="42" t="s">
        <v>180</v>
      </c>
      <c r="J3" s="42"/>
      <c r="K3" s="42"/>
      <c r="M3" s="42" t="s">
        <v>187</v>
      </c>
      <c r="N3" s="42"/>
      <c r="O3" s="42"/>
      <c r="Q3" s="42" t="s">
        <v>72</v>
      </c>
      <c r="R3" s="42"/>
      <c r="S3" s="42"/>
      <c r="U3" s="42" t="s">
        <v>81</v>
      </c>
      <c r="V3" s="42"/>
      <c r="W3" s="42"/>
      <c r="Y3" s="42" t="s">
        <v>232</v>
      </c>
      <c r="Z3" s="42"/>
      <c r="AA3" s="42"/>
      <c r="AC3" s="42" t="s">
        <v>101</v>
      </c>
      <c r="AD3" s="42"/>
      <c r="AE3" s="42"/>
      <c r="AH3" s="42" t="s">
        <v>104</v>
      </c>
      <c r="AI3" s="42"/>
      <c r="AJ3" s="42"/>
      <c r="AM3" s="42" t="s">
        <v>148</v>
      </c>
      <c r="AN3" s="42"/>
      <c r="AO3" s="42"/>
      <c r="AR3" s="42" t="s">
        <v>281</v>
      </c>
      <c r="AS3" s="42"/>
      <c r="AT3" s="42"/>
      <c r="AW3" t="s">
        <v>0</v>
      </c>
      <c r="AX3" s="1"/>
      <c r="AY3" s="1">
        <f>AS8</f>
        <v>177934700</v>
      </c>
    </row>
    <row r="4" spans="1:51" x14ac:dyDescent="0.25">
      <c r="A4" t="s">
        <v>0</v>
      </c>
      <c r="B4" s="1"/>
      <c r="C4" s="1">
        <f>101533360</f>
        <v>101533360</v>
      </c>
      <c r="E4" t="s">
        <v>0</v>
      </c>
      <c r="F4" s="1"/>
      <c r="G4" s="1">
        <f>B8</f>
        <v>106588500</v>
      </c>
      <c r="I4" t="s">
        <v>0</v>
      </c>
      <c r="J4" s="1"/>
      <c r="K4" s="1">
        <f>F8</f>
        <v>104326450</v>
      </c>
      <c r="M4" t="s">
        <v>0</v>
      </c>
      <c r="N4" s="1"/>
      <c r="O4" s="1">
        <f>J8</f>
        <v>172746600</v>
      </c>
      <c r="Q4" t="s">
        <v>0</v>
      </c>
      <c r="R4" s="1"/>
      <c r="S4" s="1">
        <f>N8</f>
        <v>182105250</v>
      </c>
      <c r="T4" s="1"/>
      <c r="U4" t="s">
        <v>0</v>
      </c>
      <c r="V4" s="1"/>
      <c r="W4" s="1">
        <f>R8</f>
        <v>219791680</v>
      </c>
      <c r="Y4" t="s">
        <v>0</v>
      </c>
      <c r="Z4" s="1"/>
      <c r="AA4" s="1">
        <f>V8</f>
        <v>198432160</v>
      </c>
      <c r="AC4" t="s">
        <v>0</v>
      </c>
      <c r="AD4" s="1"/>
      <c r="AE4" s="1">
        <f>Z8</f>
        <v>139718400</v>
      </c>
      <c r="AH4" t="s">
        <v>0</v>
      </c>
      <c r="AI4" s="1"/>
      <c r="AJ4" s="1">
        <f>AD8</f>
        <v>165682950</v>
      </c>
      <c r="AM4" t="s">
        <v>0</v>
      </c>
      <c r="AN4" s="1"/>
      <c r="AO4" s="1">
        <f>AI8</f>
        <v>183265550</v>
      </c>
      <c r="AR4" t="s">
        <v>0</v>
      </c>
      <c r="AS4" s="1"/>
      <c r="AT4" s="1">
        <f>AN8</f>
        <v>170146900</v>
      </c>
      <c r="AW4" t="s">
        <v>1</v>
      </c>
      <c r="AX4" s="1"/>
      <c r="AY4" s="1">
        <v>87160616</v>
      </c>
    </row>
    <row r="5" spans="1:51" x14ac:dyDescent="0.25">
      <c r="A5" t="s">
        <v>1</v>
      </c>
      <c r="B5" s="1"/>
      <c r="C5" s="1">
        <v>44129250</v>
      </c>
      <c r="E5" t="s">
        <v>1</v>
      </c>
      <c r="F5" s="1"/>
      <c r="G5" s="1">
        <v>67998481</v>
      </c>
      <c r="I5" t="s">
        <v>1</v>
      </c>
      <c r="J5" s="1"/>
      <c r="K5" s="1">
        <v>153433486.91</v>
      </c>
      <c r="M5" t="s">
        <v>1</v>
      </c>
      <c r="N5" s="1"/>
      <c r="O5" s="1">
        <v>90532903</v>
      </c>
      <c r="Q5" t="s">
        <v>1</v>
      </c>
      <c r="R5" s="1"/>
      <c r="S5" s="1">
        <v>152256400</v>
      </c>
      <c r="T5" s="1"/>
      <c r="U5" t="s">
        <v>1</v>
      </c>
      <c r="V5" s="1"/>
      <c r="W5" s="1">
        <v>54118402</v>
      </c>
      <c r="Y5" t="s">
        <v>1</v>
      </c>
      <c r="Z5" s="1"/>
      <c r="AA5" s="1">
        <v>64288213</v>
      </c>
      <c r="AC5" t="s">
        <v>1</v>
      </c>
      <c r="AD5" s="1"/>
      <c r="AE5" s="1">
        <v>118853610</v>
      </c>
      <c r="AH5" t="s">
        <v>1</v>
      </c>
      <c r="AI5" s="1"/>
      <c r="AJ5" s="1">
        <v>153116585</v>
      </c>
      <c r="AM5" t="s">
        <v>1</v>
      </c>
      <c r="AN5" s="1"/>
      <c r="AO5" s="1">
        <v>75093586</v>
      </c>
      <c r="AR5" t="s">
        <v>1</v>
      </c>
      <c r="AS5" s="1"/>
      <c r="AT5" s="1">
        <v>185001035</v>
      </c>
      <c r="AW5" t="s">
        <v>288</v>
      </c>
      <c r="AX5" s="1"/>
      <c r="AY5" s="1">
        <v>1001800</v>
      </c>
    </row>
    <row r="6" spans="1:51" x14ac:dyDescent="0.25">
      <c r="A6" t="s">
        <v>2</v>
      </c>
      <c r="B6" s="1"/>
      <c r="C6" s="1">
        <v>508500</v>
      </c>
      <c r="E6" t="s">
        <v>2</v>
      </c>
      <c r="F6" s="1"/>
      <c r="G6" s="1">
        <v>1421800</v>
      </c>
      <c r="I6" t="s">
        <v>2</v>
      </c>
      <c r="J6" s="1"/>
      <c r="K6" s="1">
        <v>1350000</v>
      </c>
      <c r="M6" t="s">
        <v>2</v>
      </c>
      <c r="N6" s="1"/>
      <c r="O6" s="1">
        <v>1870000</v>
      </c>
      <c r="Q6" t="s">
        <v>2</v>
      </c>
      <c r="R6" s="1"/>
      <c r="S6" s="1">
        <v>1251000</v>
      </c>
      <c r="T6" s="1"/>
      <c r="U6" t="s">
        <v>2</v>
      </c>
      <c r="V6" s="1"/>
      <c r="W6" s="1">
        <v>335000</v>
      </c>
      <c r="Y6" t="s">
        <v>2</v>
      </c>
      <c r="Z6" s="1"/>
      <c r="AA6" s="1">
        <v>512500</v>
      </c>
      <c r="AC6" t="s">
        <v>2</v>
      </c>
      <c r="AD6" s="1"/>
      <c r="AE6" s="1">
        <v>1309800</v>
      </c>
      <c r="AH6" t="s">
        <v>2</v>
      </c>
      <c r="AI6" s="1"/>
      <c r="AJ6" s="1">
        <v>1714000</v>
      </c>
      <c r="AM6" t="s">
        <v>2</v>
      </c>
      <c r="AN6" s="1"/>
      <c r="AO6" s="1">
        <v>1640675</v>
      </c>
      <c r="AR6" t="s">
        <v>2</v>
      </c>
      <c r="AS6" s="1"/>
      <c r="AT6" s="1">
        <v>1496000</v>
      </c>
      <c r="AW6" t="s">
        <v>2</v>
      </c>
      <c r="AX6" s="1"/>
      <c r="AY6" s="1">
        <v>1167000</v>
      </c>
    </row>
    <row r="7" spans="1:51" x14ac:dyDescent="0.25">
      <c r="B7" s="1"/>
      <c r="C7" s="1">
        <f>SUM(C4:C6)</f>
        <v>146171110</v>
      </c>
      <c r="F7" s="1"/>
      <c r="G7" s="1">
        <f>SUM(G4:G6)</f>
        <v>176008781</v>
      </c>
      <c r="J7" s="1"/>
      <c r="K7" s="1">
        <f>SUM(K4:K6)</f>
        <v>259109936.91</v>
      </c>
      <c r="N7" s="1"/>
      <c r="O7" s="1">
        <f>SUM(O4:O6)</f>
        <v>265149503</v>
      </c>
      <c r="R7" s="1"/>
      <c r="S7" s="1">
        <f>SUM(S4:S6)</f>
        <v>335612650</v>
      </c>
      <c r="T7" s="1"/>
      <c r="V7" s="1"/>
      <c r="W7" s="1">
        <f>SUM(W4:W6)</f>
        <v>274245082</v>
      </c>
      <c r="Z7" s="1"/>
      <c r="AA7" s="1">
        <f>SUM(AA4:AA6)</f>
        <v>263232873</v>
      </c>
      <c r="AD7" s="1"/>
      <c r="AE7" s="1">
        <f>SUM(AE4:AE6)</f>
        <v>259881810</v>
      </c>
      <c r="AI7" s="1"/>
      <c r="AJ7" s="1">
        <f>SUM(AJ4:AJ6)</f>
        <v>320513535</v>
      </c>
      <c r="AN7" s="1"/>
      <c r="AO7" s="1">
        <f>SUM(AO4:AO6)</f>
        <v>259999811</v>
      </c>
      <c r="AS7" s="1"/>
      <c r="AT7" s="1">
        <f>SUM(AT4:AT6)</f>
        <v>356643935</v>
      </c>
      <c r="AX7" s="1"/>
      <c r="AY7" s="1">
        <f>SUM(AY3:AY6)</f>
        <v>267264116</v>
      </c>
    </row>
    <row r="8" spans="1:51" x14ac:dyDescent="0.25">
      <c r="A8" t="s">
        <v>3</v>
      </c>
      <c r="B8" s="1">
        <v>106588500</v>
      </c>
      <c r="C8" s="1"/>
      <c r="E8" t="s">
        <v>3</v>
      </c>
      <c r="F8" s="1">
        <v>104326450</v>
      </c>
      <c r="G8" s="1"/>
      <c r="I8" t="s">
        <v>3</v>
      </c>
      <c r="J8" s="1">
        <v>172746600</v>
      </c>
      <c r="K8" s="1"/>
      <c r="M8" t="s">
        <v>3</v>
      </c>
      <c r="N8" s="1">
        <v>182105250</v>
      </c>
      <c r="O8" s="1"/>
      <c r="Q8" t="s">
        <v>3</v>
      </c>
      <c r="R8" s="1">
        <f>Stock!U144</f>
        <v>219791680</v>
      </c>
      <c r="S8" s="1"/>
      <c r="T8" s="1"/>
      <c r="U8" t="s">
        <v>3</v>
      </c>
      <c r="V8" s="1">
        <f>Stock!AC145</f>
        <v>198432160</v>
      </c>
      <c r="W8" s="1"/>
      <c r="Y8" t="s">
        <v>3</v>
      </c>
      <c r="Z8" s="1">
        <f>Stock!AK135</f>
        <v>139718400</v>
      </c>
      <c r="AA8" s="1"/>
      <c r="AC8" t="s">
        <v>3</v>
      </c>
      <c r="AD8" s="1">
        <f>Stock!AR145</f>
        <v>165682950</v>
      </c>
      <c r="AE8" s="1"/>
      <c r="AH8" t="s">
        <v>3</v>
      </c>
      <c r="AI8" s="1">
        <f>Stock!AY142</f>
        <v>183265550</v>
      </c>
      <c r="AJ8" s="1"/>
      <c r="AM8" t="s">
        <v>3</v>
      </c>
      <c r="AN8" s="1">
        <f>Stock!BF136</f>
        <v>170146900</v>
      </c>
      <c r="AO8" s="1"/>
      <c r="AR8" t="s">
        <v>3</v>
      </c>
      <c r="AS8" s="1">
        <f>Stock!BM114</f>
        <v>177934700</v>
      </c>
      <c r="AT8" s="1"/>
      <c r="AW8" t="s">
        <v>3</v>
      </c>
      <c r="AX8" s="1">
        <f>Stock!BT112</f>
        <v>122651950</v>
      </c>
      <c r="AY8" s="1"/>
    </row>
    <row r="9" spans="1:51" x14ac:dyDescent="0.25">
      <c r="A9" s="2"/>
      <c r="B9" s="3"/>
      <c r="C9" s="3">
        <f>C7-B8</f>
        <v>39582610</v>
      </c>
      <c r="E9" s="2"/>
      <c r="F9" s="3"/>
      <c r="G9" s="3">
        <f>G7-F8</f>
        <v>71682331</v>
      </c>
      <c r="I9" s="2"/>
      <c r="J9" s="3"/>
      <c r="K9" s="3">
        <f>K7-J8</f>
        <v>86363336.909999996</v>
      </c>
      <c r="M9" s="2"/>
      <c r="N9" s="3"/>
      <c r="O9" s="3">
        <f>O7-N8</f>
        <v>83044253</v>
      </c>
      <c r="Q9" s="2"/>
      <c r="R9" s="3"/>
      <c r="S9" s="3">
        <f>S7-R8</f>
        <v>115820970</v>
      </c>
      <c r="T9" s="1"/>
      <c r="U9" s="2"/>
      <c r="V9" s="3"/>
      <c r="W9" s="3">
        <f>W7-V8</f>
        <v>75812922</v>
      </c>
      <c r="Y9" s="2"/>
      <c r="Z9" s="3"/>
      <c r="AA9" s="3">
        <f>AA7-Z8</f>
        <v>123514473</v>
      </c>
      <c r="AC9" s="2"/>
      <c r="AD9" s="3"/>
      <c r="AE9" s="3">
        <f>AE7-AD8</f>
        <v>94198860</v>
      </c>
      <c r="AH9" s="2"/>
      <c r="AI9" s="3"/>
      <c r="AJ9" s="3">
        <f>AJ7-AI8</f>
        <v>137247985</v>
      </c>
      <c r="AM9" s="2"/>
      <c r="AN9" s="3"/>
      <c r="AO9" s="3">
        <f>AO7-AN8</f>
        <v>89852911</v>
      </c>
      <c r="AR9" s="2"/>
      <c r="AS9" s="3"/>
      <c r="AT9" s="3">
        <f>AT7-AS8</f>
        <v>178709235</v>
      </c>
      <c r="AW9" s="2"/>
      <c r="AX9" s="3"/>
      <c r="AY9" s="3">
        <f>AY7-AX8</f>
        <v>144612166</v>
      </c>
    </row>
    <row r="10" spans="1:51" x14ac:dyDescent="0.25">
      <c r="B10" s="1"/>
      <c r="C10" s="1"/>
      <c r="F10" s="1"/>
      <c r="G10" s="1"/>
      <c r="J10" s="1"/>
      <c r="K10" s="1"/>
      <c r="N10" s="1"/>
      <c r="O10" s="1"/>
      <c r="R10" s="1"/>
      <c r="S10" s="1"/>
      <c r="T10" s="1"/>
      <c r="V10" s="1"/>
      <c r="W10" s="1"/>
      <c r="Z10" s="1"/>
      <c r="AA10" s="1"/>
      <c r="AD10" s="1"/>
      <c r="AE10" s="1"/>
      <c r="AI10" s="1"/>
      <c r="AJ10" s="1"/>
      <c r="AN10" s="1"/>
      <c r="AO10" s="1"/>
      <c r="AS10" s="1"/>
      <c r="AT10" s="1"/>
      <c r="AX10" s="1"/>
      <c r="AY10" s="1"/>
    </row>
    <row r="11" spans="1:51" x14ac:dyDescent="0.25">
      <c r="A11" s="2" t="s">
        <v>4</v>
      </c>
      <c r="B11" s="3"/>
      <c r="C11" s="3"/>
      <c r="E11" s="2" t="s">
        <v>4</v>
      </c>
      <c r="F11" s="3"/>
      <c r="G11" s="3"/>
      <c r="I11" s="2" t="s">
        <v>4</v>
      </c>
      <c r="J11" s="3"/>
      <c r="K11" s="3"/>
      <c r="M11" s="2" t="s">
        <v>4</v>
      </c>
      <c r="N11" s="3"/>
      <c r="O11" s="3"/>
      <c r="Q11" s="2" t="s">
        <v>4</v>
      </c>
      <c r="R11" s="3"/>
      <c r="S11" s="3"/>
      <c r="T11" s="1"/>
      <c r="U11" s="2" t="s">
        <v>4</v>
      </c>
      <c r="V11" s="3"/>
      <c r="W11" s="3"/>
      <c r="Y11" s="2" t="s">
        <v>4</v>
      </c>
      <c r="Z11" s="3"/>
      <c r="AA11" s="3"/>
      <c r="AC11" s="2" t="s">
        <v>4</v>
      </c>
      <c r="AD11" s="3"/>
      <c r="AE11" s="3"/>
      <c r="AH11" s="2" t="s">
        <v>4</v>
      </c>
      <c r="AI11" s="3"/>
      <c r="AJ11" s="3"/>
      <c r="AM11" s="2" t="s">
        <v>4</v>
      </c>
      <c r="AN11" s="3"/>
      <c r="AO11" s="3"/>
      <c r="AR11" s="2" t="s">
        <v>4</v>
      </c>
      <c r="AS11" s="3"/>
      <c r="AT11" s="3"/>
      <c r="AW11" s="2" t="s">
        <v>4</v>
      </c>
      <c r="AX11" s="3"/>
      <c r="AY11" s="3"/>
    </row>
    <row r="12" spans="1:51" x14ac:dyDescent="0.25">
      <c r="A12" t="s">
        <v>5</v>
      </c>
      <c r="B12" s="1">
        <v>253678.66999999998</v>
      </c>
      <c r="C12" s="1"/>
      <c r="E12" t="s">
        <v>5</v>
      </c>
      <c r="F12" s="1">
        <v>278680</v>
      </c>
      <c r="G12" s="1"/>
      <c r="I12" t="s">
        <v>5</v>
      </c>
      <c r="J12" s="1">
        <v>281378.67</v>
      </c>
      <c r="K12" s="1"/>
      <c r="M12" t="s">
        <v>5</v>
      </c>
      <c r="N12" s="1">
        <v>281378</v>
      </c>
      <c r="O12" s="1"/>
      <c r="Q12" t="s">
        <v>5</v>
      </c>
      <c r="R12" s="1">
        <v>281378</v>
      </c>
      <c r="S12" s="1"/>
      <c r="T12" s="1"/>
      <c r="U12" t="s">
        <v>5</v>
      </c>
      <c r="V12" s="1">
        <v>281378</v>
      </c>
      <c r="W12" s="1"/>
      <c r="Y12" t="s">
        <v>5</v>
      </c>
      <c r="Z12" s="1">
        <v>281378</v>
      </c>
      <c r="AA12" s="1"/>
      <c r="AC12" t="s">
        <v>5</v>
      </c>
      <c r="AD12" s="1">
        <v>281378</v>
      </c>
      <c r="AE12" s="1"/>
      <c r="AH12" t="s">
        <v>5</v>
      </c>
      <c r="AI12" s="1">
        <v>281378</v>
      </c>
      <c r="AJ12" s="1"/>
      <c r="AM12" t="s">
        <v>5</v>
      </c>
      <c r="AN12" s="1">
        <v>281378</v>
      </c>
      <c r="AO12" s="1"/>
      <c r="AR12" t="s">
        <v>5</v>
      </c>
      <c r="AS12" s="1">
        <v>400000</v>
      </c>
      <c r="AT12" s="1"/>
      <c r="AW12" t="s">
        <v>5</v>
      </c>
      <c r="AX12" s="1">
        <v>420000</v>
      </c>
      <c r="AY12" s="1"/>
    </row>
    <row r="13" spans="1:51" x14ac:dyDescent="0.25">
      <c r="A13" t="s">
        <v>6</v>
      </c>
      <c r="B13" s="1">
        <v>282500</v>
      </c>
      <c r="C13" s="1"/>
      <c r="E13" t="s">
        <v>6</v>
      </c>
      <c r="F13" s="1">
        <v>223000</v>
      </c>
      <c r="G13" s="1"/>
      <c r="I13" t="s">
        <v>6</v>
      </c>
      <c r="J13" s="1">
        <v>672000</v>
      </c>
      <c r="K13" s="1"/>
      <c r="M13" t="s">
        <v>6</v>
      </c>
      <c r="N13" s="1">
        <v>380500</v>
      </c>
      <c r="O13" s="1"/>
      <c r="Q13" t="s">
        <v>6</v>
      </c>
      <c r="R13" s="1">
        <v>384500</v>
      </c>
      <c r="S13" s="1"/>
      <c r="T13" s="1"/>
      <c r="U13" t="s">
        <v>6</v>
      </c>
      <c r="V13" s="1">
        <v>433000</v>
      </c>
      <c r="W13" s="1"/>
      <c r="Y13" t="s">
        <v>6</v>
      </c>
      <c r="Z13" s="1">
        <v>480000</v>
      </c>
      <c r="AA13" s="1"/>
      <c r="AC13" t="s">
        <v>6</v>
      </c>
      <c r="AD13" s="1">
        <v>647000</v>
      </c>
      <c r="AE13" s="1"/>
      <c r="AH13" t="s">
        <v>6</v>
      </c>
      <c r="AI13" s="1">
        <v>560000</v>
      </c>
      <c r="AJ13" s="1"/>
      <c r="AM13" t="s">
        <v>6</v>
      </c>
      <c r="AN13" s="1">
        <v>400000</v>
      </c>
      <c r="AO13" s="1"/>
      <c r="AR13" t="s">
        <v>6</v>
      </c>
      <c r="AS13" s="1">
        <v>515000</v>
      </c>
      <c r="AT13" s="1"/>
      <c r="AW13" t="s">
        <v>6</v>
      </c>
      <c r="AX13" s="1">
        <v>555000</v>
      </c>
      <c r="AY13" s="1"/>
    </row>
    <row r="14" spans="1:51" x14ac:dyDescent="0.25">
      <c r="A14" t="s">
        <v>7</v>
      </c>
      <c r="B14" s="1">
        <v>20000</v>
      </c>
      <c r="C14" s="1"/>
      <c r="E14" t="s">
        <v>7</v>
      </c>
      <c r="F14" s="1">
        <v>12500</v>
      </c>
      <c r="G14" s="1"/>
      <c r="I14" t="s">
        <v>7</v>
      </c>
      <c r="J14" s="1">
        <v>15500</v>
      </c>
      <c r="K14" s="1"/>
      <c r="M14" t="s">
        <v>7</v>
      </c>
      <c r="N14" s="1">
        <v>11000</v>
      </c>
      <c r="O14" s="1"/>
      <c r="Q14" t="s">
        <v>7</v>
      </c>
      <c r="R14" s="1">
        <v>16000</v>
      </c>
      <c r="S14" s="1"/>
      <c r="T14" s="1"/>
      <c r="U14" t="s">
        <v>7</v>
      </c>
      <c r="V14" s="1">
        <v>62000</v>
      </c>
      <c r="W14" s="1"/>
      <c r="Y14" t="s">
        <v>7</v>
      </c>
      <c r="Z14" s="1">
        <v>45000</v>
      </c>
      <c r="AA14" s="1"/>
      <c r="AC14" t="s">
        <v>7</v>
      </c>
      <c r="AD14" s="1">
        <v>5000</v>
      </c>
      <c r="AE14" s="1"/>
      <c r="AH14" t="s">
        <v>7</v>
      </c>
      <c r="AI14" s="1">
        <v>0</v>
      </c>
      <c r="AJ14" s="1"/>
      <c r="AM14" t="s">
        <v>7</v>
      </c>
      <c r="AN14" s="1">
        <v>35000</v>
      </c>
      <c r="AO14" s="1"/>
      <c r="AR14" t="s">
        <v>7</v>
      </c>
      <c r="AS14" s="1">
        <v>0</v>
      </c>
      <c r="AT14" s="1"/>
      <c r="AW14" t="s">
        <v>7</v>
      </c>
      <c r="AX14" s="1">
        <v>0</v>
      </c>
      <c r="AY14" s="1"/>
    </row>
    <row r="15" spans="1:51" x14ac:dyDescent="0.25">
      <c r="A15" t="s">
        <v>8</v>
      </c>
      <c r="B15" s="1">
        <v>105500</v>
      </c>
      <c r="C15" s="1"/>
      <c r="E15" t="s">
        <v>8</v>
      </c>
      <c r="F15" s="1">
        <v>302500</v>
      </c>
      <c r="G15" s="1"/>
      <c r="I15" t="s">
        <v>8</v>
      </c>
      <c r="J15" s="1">
        <v>682600</v>
      </c>
      <c r="K15" s="1"/>
      <c r="M15" t="s">
        <v>8</v>
      </c>
      <c r="N15" s="1">
        <v>684500</v>
      </c>
      <c r="O15" s="1"/>
      <c r="Q15" t="s">
        <v>8</v>
      </c>
      <c r="R15" s="1">
        <v>1325650</v>
      </c>
      <c r="S15" s="1"/>
      <c r="T15" s="1"/>
      <c r="U15" t="s">
        <v>8</v>
      </c>
      <c r="V15" s="1">
        <v>659600</v>
      </c>
      <c r="W15" s="1"/>
      <c r="Y15" t="s">
        <v>8</v>
      </c>
      <c r="Z15" s="1">
        <v>425000</v>
      </c>
      <c r="AA15" s="1"/>
      <c r="AC15" t="s">
        <v>8</v>
      </c>
      <c r="AD15" s="1">
        <v>612200</v>
      </c>
      <c r="AE15" s="1"/>
      <c r="AH15" t="s">
        <v>8</v>
      </c>
      <c r="AI15" s="1">
        <v>771576</v>
      </c>
      <c r="AJ15" s="1"/>
      <c r="AM15" t="s">
        <v>8</v>
      </c>
      <c r="AN15" s="1">
        <v>514700</v>
      </c>
      <c r="AO15" s="1"/>
      <c r="AR15" t="s">
        <v>8</v>
      </c>
      <c r="AS15" s="1">
        <v>93000</v>
      </c>
      <c r="AT15" s="1"/>
      <c r="AW15" t="s">
        <v>8</v>
      </c>
      <c r="AX15" s="1">
        <v>937500</v>
      </c>
      <c r="AY15" s="1"/>
    </row>
    <row r="16" spans="1:51" x14ac:dyDescent="0.25">
      <c r="A16" t="s">
        <v>9</v>
      </c>
      <c r="B16" s="1">
        <v>110000</v>
      </c>
      <c r="C16" s="1"/>
      <c r="E16" t="s">
        <v>9</v>
      </c>
      <c r="F16" s="1">
        <v>110000</v>
      </c>
      <c r="G16" s="1"/>
      <c r="I16" t="s">
        <v>9</v>
      </c>
      <c r="J16" s="1">
        <v>110000</v>
      </c>
      <c r="K16" s="1"/>
      <c r="M16" t="s">
        <v>9</v>
      </c>
      <c r="N16" s="1">
        <v>110000</v>
      </c>
      <c r="O16" s="1"/>
      <c r="Q16" t="s">
        <v>9</v>
      </c>
      <c r="R16" s="1">
        <v>110000</v>
      </c>
      <c r="S16" s="1"/>
      <c r="T16" s="1"/>
      <c r="U16" t="s">
        <v>9</v>
      </c>
      <c r="V16" s="1">
        <v>110000</v>
      </c>
      <c r="W16" s="1"/>
      <c r="Y16" t="s">
        <v>9</v>
      </c>
      <c r="Z16" s="1">
        <v>110000</v>
      </c>
      <c r="AA16" s="1"/>
      <c r="AC16" t="s">
        <v>9</v>
      </c>
      <c r="AD16" s="1">
        <v>110000</v>
      </c>
      <c r="AE16" s="1"/>
      <c r="AH16" t="s">
        <v>9</v>
      </c>
      <c r="AI16" s="1">
        <v>110000</v>
      </c>
      <c r="AJ16" s="1"/>
      <c r="AL16" s="1"/>
      <c r="AM16" t="s">
        <v>9</v>
      </c>
      <c r="AN16" s="1">
        <v>110000</v>
      </c>
      <c r="AO16" s="1"/>
      <c r="AR16" t="s">
        <v>9</v>
      </c>
      <c r="AS16" s="1">
        <v>110000</v>
      </c>
      <c r="AT16" s="1"/>
      <c r="AW16" t="s">
        <v>9</v>
      </c>
      <c r="AX16" s="1">
        <v>110000</v>
      </c>
      <c r="AY16" s="1"/>
    </row>
    <row r="17" spans="1:51" x14ac:dyDescent="0.25">
      <c r="B17" s="1">
        <f>SUM(B12:B16)</f>
        <v>771678.66999999993</v>
      </c>
      <c r="C17" s="1"/>
      <c r="F17" s="1">
        <f>SUM(F12:F16)</f>
        <v>926680</v>
      </c>
      <c r="G17" s="1"/>
      <c r="J17" s="1">
        <f>SUM(J12:J16)</f>
        <v>1761478.67</v>
      </c>
      <c r="K17" s="1"/>
      <c r="N17" s="1">
        <f>SUM(N12:N16)</f>
        <v>1467378</v>
      </c>
      <c r="O17" s="1"/>
      <c r="R17" s="1">
        <f>SUM(R12:R16)</f>
        <v>2117528</v>
      </c>
      <c r="S17" s="1"/>
      <c r="T17" s="1"/>
      <c r="V17" s="1">
        <f>SUM(V12:V16)</f>
        <v>1545978</v>
      </c>
      <c r="W17" s="1"/>
      <c r="Z17" s="1">
        <f>SUM(Z12:Z16)</f>
        <v>1341378</v>
      </c>
      <c r="AA17" s="1"/>
      <c r="AD17" s="1">
        <f>SUM(AD12:AD16)</f>
        <v>1655578</v>
      </c>
      <c r="AE17" s="1"/>
      <c r="AI17" s="1">
        <f>SUM(AI12:AI16)</f>
        <v>1722954</v>
      </c>
      <c r="AJ17" s="1"/>
      <c r="AL17" s="10"/>
      <c r="AN17" s="1">
        <f>SUM(AN12:AN16)</f>
        <v>1341078</v>
      </c>
      <c r="AO17" s="1"/>
      <c r="AS17" s="1">
        <f>SUM(AS12:AS16)</f>
        <v>1118000</v>
      </c>
      <c r="AT17" s="1"/>
      <c r="AX17" s="1">
        <f>SUM(AX12:AX16)</f>
        <v>2022500</v>
      </c>
      <c r="AY17" s="1"/>
    </row>
    <row r="18" spans="1:51" x14ac:dyDescent="0.25">
      <c r="A18" s="2"/>
      <c r="B18" s="3"/>
      <c r="C18" s="3">
        <f>C9+B17</f>
        <v>40354288.670000002</v>
      </c>
      <c r="E18" s="2"/>
      <c r="F18" s="3"/>
      <c r="G18" s="3">
        <f>G9+F17</f>
        <v>72609011</v>
      </c>
      <c r="I18" s="2"/>
      <c r="J18" s="3"/>
      <c r="K18" s="3">
        <f>K9+J17</f>
        <v>88124815.579999998</v>
      </c>
      <c r="M18" s="2"/>
      <c r="N18" s="3"/>
      <c r="O18" s="3">
        <f>O9+N17</f>
        <v>84511631</v>
      </c>
      <c r="Q18" s="2"/>
      <c r="R18" s="3"/>
      <c r="S18" s="3">
        <f>S9+R17</f>
        <v>117938498</v>
      </c>
      <c r="T18" s="1"/>
      <c r="U18" s="2"/>
      <c r="V18" s="3"/>
      <c r="W18" s="3">
        <f>W9+V17</f>
        <v>77358900</v>
      </c>
      <c r="Y18" s="2"/>
      <c r="Z18" s="3"/>
      <c r="AA18" s="3">
        <f>AA9+Z17</f>
        <v>124855851</v>
      </c>
      <c r="AC18" s="2"/>
      <c r="AD18" s="3"/>
      <c r="AE18" s="3">
        <f>AE9+AD17</f>
        <v>95854438</v>
      </c>
      <c r="AH18" s="2"/>
      <c r="AI18" s="3"/>
      <c r="AJ18" s="3">
        <f>AJ9+AI17</f>
        <v>138970939</v>
      </c>
      <c r="AL18" s="10"/>
      <c r="AM18" s="2"/>
      <c r="AN18" s="3"/>
      <c r="AO18" s="3">
        <f>AO9+AN17</f>
        <v>91193989</v>
      </c>
      <c r="AR18" s="2"/>
      <c r="AS18" s="3"/>
      <c r="AT18" s="3">
        <f>AT9+AS17</f>
        <v>179827235</v>
      </c>
      <c r="AW18" s="2"/>
      <c r="AX18" s="3"/>
      <c r="AY18" s="3">
        <f>AY9+AX17</f>
        <v>146634666</v>
      </c>
    </row>
    <row r="19" spans="1:51" x14ac:dyDescent="0.25">
      <c r="B19" s="1"/>
      <c r="C19" s="1"/>
      <c r="F19" s="1"/>
      <c r="G19" s="1"/>
      <c r="J19" s="1"/>
      <c r="K19" s="1"/>
      <c r="N19" s="1"/>
      <c r="O19" s="1"/>
      <c r="R19" s="1"/>
      <c r="S19" s="1"/>
      <c r="T19" s="1"/>
      <c r="V19" s="1"/>
      <c r="W19" s="1"/>
      <c r="Z19" s="1"/>
      <c r="AA19" s="1"/>
      <c r="AD19" s="1"/>
      <c r="AE19" s="1"/>
      <c r="AI19" s="1"/>
      <c r="AJ19" s="1"/>
      <c r="AL19" s="10"/>
      <c r="AN19" s="1"/>
      <c r="AO19" s="1"/>
      <c r="AS19" s="1"/>
      <c r="AT19" s="1"/>
      <c r="AX19" s="1"/>
      <c r="AY19" s="1"/>
    </row>
    <row r="20" spans="1:51" x14ac:dyDescent="0.25">
      <c r="A20" s="42" t="s">
        <v>71</v>
      </c>
      <c r="B20" s="42"/>
      <c r="C20" s="42"/>
      <c r="E20" s="42" t="s">
        <v>71</v>
      </c>
      <c r="F20" s="42"/>
      <c r="G20" s="42"/>
      <c r="I20" s="42" t="s">
        <v>71</v>
      </c>
      <c r="J20" s="42"/>
      <c r="K20" s="42"/>
      <c r="M20" s="42" t="s">
        <v>71</v>
      </c>
      <c r="N20" s="42"/>
      <c r="O20" s="42"/>
      <c r="Q20" s="42" t="s">
        <v>71</v>
      </c>
      <c r="R20" s="42"/>
      <c r="S20" s="42"/>
      <c r="T20" s="1"/>
      <c r="U20" s="42" t="s">
        <v>71</v>
      </c>
      <c r="V20" s="42"/>
      <c r="W20" s="42"/>
      <c r="Y20" s="42" t="s">
        <v>71</v>
      </c>
      <c r="Z20" s="42"/>
      <c r="AA20" s="42"/>
      <c r="AC20" s="42" t="s">
        <v>71</v>
      </c>
      <c r="AD20" s="42"/>
      <c r="AE20" s="42"/>
      <c r="AH20" s="42" t="s">
        <v>71</v>
      </c>
      <c r="AI20" s="42"/>
      <c r="AJ20" s="42"/>
      <c r="AL20" s="10"/>
      <c r="AM20" s="42" t="s">
        <v>71</v>
      </c>
      <c r="AN20" s="42"/>
      <c r="AO20" s="42"/>
      <c r="AR20" s="42" t="s">
        <v>71</v>
      </c>
      <c r="AS20" s="42"/>
      <c r="AT20" s="42"/>
      <c r="AW20" s="42" t="s">
        <v>71</v>
      </c>
      <c r="AX20" s="42"/>
      <c r="AY20" s="42"/>
    </row>
    <row r="21" spans="1:51" x14ac:dyDescent="0.25">
      <c r="A21" s="42" t="s">
        <v>172</v>
      </c>
      <c r="B21" s="42"/>
      <c r="C21" s="42"/>
      <c r="E21" s="42" t="s">
        <v>173</v>
      </c>
      <c r="F21" s="42"/>
      <c r="G21" s="42"/>
      <c r="I21" s="42" t="s">
        <v>173</v>
      </c>
      <c r="J21" s="42"/>
      <c r="K21" s="42"/>
      <c r="M21" s="42" t="s">
        <v>188</v>
      </c>
      <c r="N21" s="42"/>
      <c r="O21" s="42"/>
      <c r="Q21" s="42" t="s">
        <v>73</v>
      </c>
      <c r="R21" s="42"/>
      <c r="S21" s="42"/>
      <c r="T21" s="1"/>
      <c r="U21" s="42" t="s">
        <v>82</v>
      </c>
      <c r="V21" s="42"/>
      <c r="W21" s="42"/>
      <c r="Y21" s="42" t="s">
        <v>82</v>
      </c>
      <c r="Z21" s="42"/>
      <c r="AA21" s="42"/>
      <c r="AC21" s="42" t="s">
        <v>239</v>
      </c>
      <c r="AD21" s="42"/>
      <c r="AE21" s="42"/>
      <c r="AH21" s="42" t="s">
        <v>105</v>
      </c>
      <c r="AI21" s="42"/>
      <c r="AJ21" s="42"/>
      <c r="AL21" s="10"/>
      <c r="AM21" s="42" t="s">
        <v>283</v>
      </c>
      <c r="AN21" s="42"/>
      <c r="AO21" s="42"/>
      <c r="AR21" s="42" t="s">
        <v>282</v>
      </c>
      <c r="AS21" s="42"/>
      <c r="AT21" s="42"/>
      <c r="AW21" s="42" t="s">
        <v>286</v>
      </c>
      <c r="AX21" s="42"/>
      <c r="AY21" s="42"/>
    </row>
    <row r="22" spans="1:51" x14ac:dyDescent="0.25">
      <c r="A22" s="2" t="s">
        <v>0</v>
      </c>
      <c r="B22" s="3"/>
      <c r="C22" s="3"/>
      <c r="E22" s="2" t="s">
        <v>0</v>
      </c>
      <c r="F22" s="3"/>
      <c r="G22" s="3"/>
      <c r="I22" s="2" t="s">
        <v>0</v>
      </c>
      <c r="J22" s="3"/>
      <c r="K22" s="3"/>
      <c r="M22" s="2" t="s">
        <v>0</v>
      </c>
      <c r="N22" s="3"/>
      <c r="O22" s="3"/>
      <c r="Q22" s="2" t="s">
        <v>0</v>
      </c>
      <c r="R22" s="3"/>
      <c r="S22" s="3"/>
      <c r="T22" s="1"/>
      <c r="U22" s="2" t="s">
        <v>0</v>
      </c>
      <c r="V22" s="3"/>
      <c r="W22" s="3"/>
      <c r="Y22" s="2" t="s">
        <v>0</v>
      </c>
      <c r="Z22" s="3"/>
      <c r="AA22" s="3"/>
      <c r="AC22" s="2" t="s">
        <v>0</v>
      </c>
      <c r="AD22" s="3"/>
      <c r="AE22" s="3"/>
      <c r="AH22" s="2" t="s">
        <v>0</v>
      </c>
      <c r="AI22" s="3"/>
      <c r="AJ22" s="3"/>
      <c r="AL22" s="10"/>
      <c r="AM22" s="2" t="s">
        <v>0</v>
      </c>
      <c r="AN22" s="3"/>
      <c r="AO22" s="3"/>
      <c r="AR22" s="2" t="s">
        <v>0</v>
      </c>
      <c r="AS22" s="3"/>
      <c r="AT22" s="3"/>
      <c r="AW22" s="2" t="s">
        <v>0</v>
      </c>
      <c r="AX22" s="3"/>
      <c r="AY22" s="3"/>
    </row>
    <row r="23" spans="1:51" x14ac:dyDescent="0.25">
      <c r="A23" t="s">
        <v>10</v>
      </c>
      <c r="B23" s="1"/>
      <c r="C23" s="1">
        <v>53323698</v>
      </c>
      <c r="E23" t="s">
        <v>10</v>
      </c>
      <c r="F23" s="1"/>
      <c r="G23" s="1">
        <v>104795105</v>
      </c>
      <c r="I23" t="s">
        <v>10</v>
      </c>
      <c r="J23" s="1"/>
      <c r="K23" s="1">
        <v>123652195.75</v>
      </c>
      <c r="M23" t="s">
        <v>10</v>
      </c>
      <c r="N23" s="1"/>
      <c r="O23" s="1">
        <v>95528700</v>
      </c>
      <c r="Q23" t="s">
        <v>10</v>
      </c>
      <c r="R23" s="1"/>
      <c r="S23" s="1">
        <v>163001075</v>
      </c>
      <c r="T23" s="1"/>
      <c r="U23" t="s">
        <v>10</v>
      </c>
      <c r="V23" s="1"/>
      <c r="W23" s="1">
        <v>84341891</v>
      </c>
      <c r="Y23" t="s">
        <v>10</v>
      </c>
      <c r="Z23" s="1"/>
      <c r="AA23" s="1">
        <v>152000000</v>
      </c>
      <c r="AC23" t="s">
        <v>10</v>
      </c>
      <c r="AD23" s="1"/>
      <c r="AE23" s="1">
        <v>130134588</v>
      </c>
      <c r="AH23" t="s">
        <v>10</v>
      </c>
      <c r="AI23" s="1"/>
      <c r="AJ23" s="1">
        <v>157461273</v>
      </c>
      <c r="AL23" s="10"/>
      <c r="AM23" t="s">
        <v>10</v>
      </c>
      <c r="AN23" s="1"/>
      <c r="AO23" s="1">
        <v>102424103</v>
      </c>
      <c r="AR23" t="s">
        <v>10</v>
      </c>
      <c r="AS23" s="1"/>
      <c r="AT23" s="1">
        <v>231774332</v>
      </c>
      <c r="AW23" t="s">
        <v>10</v>
      </c>
      <c r="AX23" s="1"/>
      <c r="AY23" s="1">
        <v>172755778</v>
      </c>
    </row>
    <row r="24" spans="1:51" x14ac:dyDescent="0.25">
      <c r="A24" t="s">
        <v>11</v>
      </c>
      <c r="B24" s="1">
        <v>4697544</v>
      </c>
      <c r="C24" s="1"/>
      <c r="E24" t="s">
        <v>11</v>
      </c>
      <c r="F24" s="1">
        <v>7973518</v>
      </c>
      <c r="G24" s="1"/>
      <c r="I24" t="s">
        <v>11</v>
      </c>
      <c r="J24" s="1">
        <v>11245242</v>
      </c>
      <c r="K24" s="1"/>
      <c r="M24" t="s">
        <v>11</v>
      </c>
      <c r="N24" s="1">
        <v>8153703</v>
      </c>
      <c r="O24" s="1"/>
      <c r="Q24" t="s">
        <v>11</v>
      </c>
      <c r="R24" s="1">
        <v>6426503</v>
      </c>
      <c r="S24" s="1"/>
      <c r="T24" s="1"/>
      <c r="U24" t="s">
        <v>11</v>
      </c>
      <c r="V24" s="1">
        <v>10779777</v>
      </c>
      <c r="W24" s="1"/>
      <c r="Y24" t="s">
        <v>11</v>
      </c>
      <c r="Z24" s="1">
        <v>15848223</v>
      </c>
      <c r="AA24" s="1"/>
      <c r="AC24" t="s">
        <v>11</v>
      </c>
      <c r="AD24" s="1">
        <v>18137530</v>
      </c>
      <c r="AE24" s="1"/>
      <c r="AH24" t="s">
        <v>11</v>
      </c>
      <c r="AI24" s="1">
        <v>17842400</v>
      </c>
      <c r="AJ24" s="1"/>
      <c r="AL24" s="10"/>
      <c r="AM24" t="s">
        <v>11</v>
      </c>
      <c r="AN24" s="1">
        <v>12640800</v>
      </c>
      <c r="AO24" s="1"/>
      <c r="AR24" t="s">
        <v>11</v>
      </c>
      <c r="AS24" s="1">
        <v>33183934</v>
      </c>
      <c r="AT24" s="1"/>
      <c r="AW24" t="s">
        <v>11</v>
      </c>
      <c r="AX24" s="1">
        <v>23930230</v>
      </c>
      <c r="AY24" s="1"/>
    </row>
    <row r="25" spans="1:51" x14ac:dyDescent="0.25">
      <c r="A25" t="s">
        <v>12</v>
      </c>
      <c r="B25" s="1"/>
      <c r="C25" s="1">
        <f>C23-B24</f>
        <v>48626154</v>
      </c>
      <c r="E25" t="s">
        <v>12</v>
      </c>
      <c r="F25" s="1"/>
      <c r="G25" s="1">
        <f>G23-F24</f>
        <v>96821587</v>
      </c>
      <c r="I25" t="s">
        <v>12</v>
      </c>
      <c r="J25" s="1"/>
      <c r="K25" s="1">
        <f>K23-J24</f>
        <v>112406953.75</v>
      </c>
      <c r="M25" t="s">
        <v>12</v>
      </c>
      <c r="N25" s="1"/>
      <c r="O25" s="1">
        <f>O23-N24</f>
        <v>87374997</v>
      </c>
      <c r="Q25" t="s">
        <v>12</v>
      </c>
      <c r="R25" s="1"/>
      <c r="S25" s="1">
        <f>S23-R24</f>
        <v>156574572</v>
      </c>
      <c r="T25" s="1"/>
      <c r="U25" t="s">
        <v>12</v>
      </c>
      <c r="V25" s="1"/>
      <c r="W25" s="1">
        <f>W23-V24</f>
        <v>73562114</v>
      </c>
      <c r="Y25" t="s">
        <v>12</v>
      </c>
      <c r="Z25" s="1"/>
      <c r="AA25" s="1">
        <f>AA23-Z24</f>
        <v>136151777</v>
      </c>
      <c r="AC25" t="s">
        <v>12</v>
      </c>
      <c r="AD25" s="1"/>
      <c r="AE25" s="1">
        <f>AE23-AD24</f>
        <v>111997058</v>
      </c>
      <c r="AH25" t="s">
        <v>12</v>
      </c>
      <c r="AI25" s="1"/>
      <c r="AJ25" s="1">
        <f>AJ23-AI24</f>
        <v>139618873</v>
      </c>
      <c r="AL25" s="10"/>
      <c r="AM25" t="s">
        <v>12</v>
      </c>
      <c r="AN25" s="1"/>
      <c r="AO25" s="1">
        <f>AO23-AN24</f>
        <v>89783303</v>
      </c>
      <c r="AR25" t="s">
        <v>12</v>
      </c>
      <c r="AS25" s="1"/>
      <c r="AT25" s="1">
        <f>AT23-AS24</f>
        <v>198590398</v>
      </c>
      <c r="AW25" t="s">
        <v>12</v>
      </c>
      <c r="AX25" s="1"/>
      <c r="AY25" s="1">
        <f>AY23-AX24</f>
        <v>148825548</v>
      </c>
    </row>
    <row r="26" spans="1:51" x14ac:dyDescent="0.25">
      <c r="A26" t="s">
        <v>13</v>
      </c>
      <c r="B26" s="1">
        <f>C18</f>
        <v>40354288.670000002</v>
      </c>
      <c r="C26" s="1"/>
      <c r="E26" t="s">
        <v>13</v>
      </c>
      <c r="F26" s="1">
        <f>G18</f>
        <v>72609011</v>
      </c>
      <c r="G26" s="1"/>
      <c r="I26" t="s">
        <v>13</v>
      </c>
      <c r="J26" s="1">
        <f>K18</f>
        <v>88124815.579999998</v>
      </c>
      <c r="K26" s="1"/>
      <c r="M26" t="s">
        <v>13</v>
      </c>
      <c r="N26" s="1">
        <f>O18</f>
        <v>84511631</v>
      </c>
      <c r="O26" s="1"/>
      <c r="Q26" t="s">
        <v>13</v>
      </c>
      <c r="R26" s="1">
        <f>S18</f>
        <v>117938498</v>
      </c>
      <c r="S26" s="1"/>
      <c r="T26" s="1"/>
      <c r="U26" t="s">
        <v>13</v>
      </c>
      <c r="V26" s="1">
        <f>W18</f>
        <v>77358900</v>
      </c>
      <c r="W26" s="1"/>
      <c r="Y26" t="s">
        <v>13</v>
      </c>
      <c r="Z26" s="1">
        <f>AA18</f>
        <v>124855851</v>
      </c>
      <c r="AA26" s="1"/>
      <c r="AC26" t="s">
        <v>13</v>
      </c>
      <c r="AD26" s="1">
        <f>AE18</f>
        <v>95854438</v>
      </c>
      <c r="AE26" s="1"/>
      <c r="AH26" t="s">
        <v>13</v>
      </c>
      <c r="AI26" s="1">
        <f>AJ18</f>
        <v>138970939</v>
      </c>
      <c r="AJ26" s="1"/>
      <c r="AL26" s="10"/>
      <c r="AM26" t="s">
        <v>13</v>
      </c>
      <c r="AN26" s="1">
        <f>AO18</f>
        <v>91193989</v>
      </c>
      <c r="AO26" s="1"/>
      <c r="AR26" t="s">
        <v>13</v>
      </c>
      <c r="AS26" s="1">
        <f>AT18</f>
        <v>179827235</v>
      </c>
      <c r="AT26" s="1"/>
      <c r="AW26" t="s">
        <v>13</v>
      </c>
      <c r="AX26" s="1">
        <f>AY18</f>
        <v>146634666</v>
      </c>
      <c r="AY26" s="1"/>
    </row>
    <row r="27" spans="1:51" x14ac:dyDescent="0.25">
      <c r="A27" t="s">
        <v>3</v>
      </c>
      <c r="B27" s="1">
        <v>0</v>
      </c>
      <c r="C27" s="1"/>
      <c r="E27" t="s">
        <v>3</v>
      </c>
      <c r="F27" s="1">
        <v>0</v>
      </c>
      <c r="G27" s="1"/>
      <c r="I27" t="s">
        <v>3</v>
      </c>
      <c r="J27" s="1">
        <v>0</v>
      </c>
      <c r="K27" s="1"/>
      <c r="M27" t="s">
        <v>3</v>
      </c>
      <c r="N27" s="1">
        <v>0</v>
      </c>
      <c r="O27" s="1"/>
      <c r="Q27" t="s">
        <v>3</v>
      </c>
      <c r="R27" s="1">
        <v>0</v>
      </c>
      <c r="S27" s="1"/>
      <c r="T27" s="1"/>
      <c r="U27" t="s">
        <v>3</v>
      </c>
      <c r="V27" s="1">
        <v>0</v>
      </c>
      <c r="W27" s="1"/>
      <c r="Y27" t="s">
        <v>3</v>
      </c>
      <c r="Z27" s="1">
        <v>0</v>
      </c>
      <c r="AA27" s="1"/>
      <c r="AC27" t="s">
        <v>3</v>
      </c>
      <c r="AD27" s="1">
        <v>0</v>
      </c>
      <c r="AE27" s="1"/>
      <c r="AH27" t="s">
        <v>3</v>
      </c>
      <c r="AI27" s="1">
        <v>0</v>
      </c>
      <c r="AJ27" s="1"/>
      <c r="AL27" s="10"/>
      <c r="AM27" t="s">
        <v>3</v>
      </c>
      <c r="AN27" s="1">
        <v>0</v>
      </c>
      <c r="AO27" s="1"/>
      <c r="AR27" t="s">
        <v>3</v>
      </c>
      <c r="AS27" s="1">
        <v>0</v>
      </c>
      <c r="AT27" s="1"/>
      <c r="AW27" t="s">
        <v>3</v>
      </c>
      <c r="AX27" s="1">
        <v>0</v>
      </c>
      <c r="AY27" s="1"/>
    </row>
    <row r="28" spans="1:51" x14ac:dyDescent="0.25">
      <c r="B28" s="1">
        <f>SUM(B26:B27)</f>
        <v>40354288.670000002</v>
      </c>
      <c r="C28" s="1"/>
      <c r="F28" s="1">
        <f>SUM(F26:F27)</f>
        <v>72609011</v>
      </c>
      <c r="G28" s="1"/>
      <c r="J28" s="1">
        <f>SUM(J26:J27)</f>
        <v>88124815.579999998</v>
      </c>
      <c r="K28" s="1"/>
      <c r="N28" s="1">
        <f>SUM(N26:N27)</f>
        <v>84511631</v>
      </c>
      <c r="O28" s="1"/>
      <c r="R28" s="1">
        <f>SUM(R26:R27)</f>
        <v>117938498</v>
      </c>
      <c r="S28" s="1"/>
      <c r="T28" s="1"/>
      <c r="V28" s="1">
        <f>SUM(V26:V27)</f>
        <v>77358900</v>
      </c>
      <c r="W28" s="1"/>
      <c r="Z28" s="1">
        <f>SUM(Z26:Z27)</f>
        <v>124855851</v>
      </c>
      <c r="AA28" s="1"/>
      <c r="AD28" s="1">
        <f>SUM(AD26:AD27)</f>
        <v>95854438</v>
      </c>
      <c r="AE28" s="1"/>
      <c r="AI28" s="1">
        <f>SUM(AI26:AI27)</f>
        <v>138970939</v>
      </c>
      <c r="AJ28" s="1"/>
      <c r="AL28" s="10"/>
      <c r="AN28" s="1">
        <f>SUM(AN26:AN27)</f>
        <v>91193989</v>
      </c>
      <c r="AO28" s="1"/>
      <c r="AS28" s="1">
        <f>SUM(AS26:AS27)</f>
        <v>179827235</v>
      </c>
      <c r="AT28" s="1"/>
      <c r="AX28" s="1">
        <f>SUM(AX26:AX27)</f>
        <v>146634666</v>
      </c>
      <c r="AY28" s="1"/>
    </row>
    <row r="29" spans="1:51" x14ac:dyDescent="0.25">
      <c r="A29" s="2" t="s">
        <v>14</v>
      </c>
      <c r="B29" s="3"/>
      <c r="C29" s="3">
        <f>C25-B28</f>
        <v>8271865.3299999982</v>
      </c>
      <c r="E29" s="2" t="s">
        <v>14</v>
      </c>
      <c r="F29" s="3"/>
      <c r="G29" s="3">
        <f>G25-F28</f>
        <v>24212576</v>
      </c>
      <c r="I29" s="2" t="s">
        <v>14</v>
      </c>
      <c r="J29" s="3"/>
      <c r="K29" s="3">
        <f>K25-J28</f>
        <v>24282138.170000002</v>
      </c>
      <c r="M29" s="2" t="s">
        <v>14</v>
      </c>
      <c r="N29" s="3"/>
      <c r="O29" s="3">
        <f>O25-N28</f>
        <v>2863366</v>
      </c>
      <c r="Q29" s="2" t="s">
        <v>14</v>
      </c>
      <c r="R29" s="3"/>
      <c r="S29" s="3">
        <f>S25-R28</f>
        <v>38636074</v>
      </c>
      <c r="T29" s="1"/>
      <c r="U29" s="2" t="s">
        <v>14</v>
      </c>
      <c r="V29" s="3"/>
      <c r="W29" s="3">
        <f>W25-V28</f>
        <v>-3796786</v>
      </c>
      <c r="Y29" s="2" t="s">
        <v>14</v>
      </c>
      <c r="Z29" s="3"/>
      <c r="AA29" s="3">
        <f>AA25-Z28</f>
        <v>11295926</v>
      </c>
      <c r="AC29" s="2" t="s">
        <v>14</v>
      </c>
      <c r="AD29" s="3"/>
      <c r="AE29" s="3">
        <f>AE25-AD28</f>
        <v>16142620</v>
      </c>
      <c r="AH29" s="2" t="s">
        <v>14</v>
      </c>
      <c r="AI29" s="3"/>
      <c r="AJ29" s="3">
        <f>AJ25-AI28</f>
        <v>647934</v>
      </c>
      <c r="AL29" s="10"/>
      <c r="AM29" s="2" t="s">
        <v>14</v>
      </c>
      <c r="AN29" s="3"/>
      <c r="AO29" s="3">
        <f>AO25-AN28</f>
        <v>-1410686</v>
      </c>
      <c r="AR29" s="2" t="s">
        <v>14</v>
      </c>
      <c r="AS29" s="3"/>
      <c r="AT29" s="3">
        <f>AT25-AS28</f>
        <v>18763163</v>
      </c>
      <c r="AW29" s="2" t="s">
        <v>14</v>
      </c>
      <c r="AX29" s="3"/>
      <c r="AY29" s="3">
        <f>AY25-AX28</f>
        <v>2190882</v>
      </c>
    </row>
    <row r="30" spans="1:51" x14ac:dyDescent="0.25">
      <c r="B30" s="1"/>
      <c r="C30" s="1"/>
      <c r="F30" s="1"/>
      <c r="G30" s="1"/>
      <c r="J30" s="1"/>
      <c r="K30" s="1"/>
      <c r="N30" s="1"/>
      <c r="O30" s="1"/>
      <c r="R30" s="1"/>
      <c r="S30" s="1"/>
      <c r="T30" s="1"/>
      <c r="V30" s="1"/>
      <c r="W30" s="1"/>
      <c r="Z30" s="1"/>
      <c r="AA30" s="1"/>
      <c r="AD30" s="1"/>
      <c r="AE30" s="1"/>
      <c r="AI30" s="1"/>
      <c r="AJ30" s="1"/>
      <c r="AL30" s="10"/>
      <c r="AN30" s="1"/>
      <c r="AO30" s="1"/>
      <c r="AS30" s="1"/>
      <c r="AT30" s="1"/>
      <c r="AX30" s="1"/>
      <c r="AY30" s="1"/>
    </row>
    <row r="31" spans="1:51" x14ac:dyDescent="0.25">
      <c r="A31" s="2" t="s">
        <v>15</v>
      </c>
      <c r="B31" s="3" t="s">
        <v>92</v>
      </c>
      <c r="C31" s="3"/>
      <c r="E31" s="2" t="s">
        <v>15</v>
      </c>
      <c r="F31" s="3" t="s">
        <v>92</v>
      </c>
      <c r="G31" s="3"/>
      <c r="I31" s="2" t="s">
        <v>15</v>
      </c>
      <c r="J31" s="3" t="s">
        <v>92</v>
      </c>
      <c r="K31" s="3"/>
      <c r="M31" s="2" t="s">
        <v>15</v>
      </c>
      <c r="N31" s="3" t="s">
        <v>92</v>
      </c>
      <c r="O31" s="3"/>
      <c r="Q31" s="2" t="s">
        <v>15</v>
      </c>
      <c r="R31" s="3" t="s">
        <v>92</v>
      </c>
      <c r="S31" s="3"/>
      <c r="T31" s="1"/>
      <c r="U31" s="2" t="s">
        <v>15</v>
      </c>
      <c r="V31" s="3" t="s">
        <v>92</v>
      </c>
      <c r="W31" s="3"/>
      <c r="Y31" s="2" t="s">
        <v>15</v>
      </c>
      <c r="Z31" s="3" t="s">
        <v>92</v>
      </c>
      <c r="AA31" s="3"/>
      <c r="AC31" s="2" t="s">
        <v>15</v>
      </c>
      <c r="AD31" s="3" t="s">
        <v>92</v>
      </c>
      <c r="AE31" s="3"/>
      <c r="AH31" s="2" t="s">
        <v>15</v>
      </c>
      <c r="AI31" s="3" t="s">
        <v>92</v>
      </c>
      <c r="AJ31" s="3"/>
      <c r="AL31" s="10"/>
      <c r="AM31" s="2" t="s">
        <v>15</v>
      </c>
      <c r="AN31" s="3" t="s">
        <v>92</v>
      </c>
      <c r="AO31" s="3"/>
      <c r="AR31" s="2" t="s">
        <v>15</v>
      </c>
      <c r="AS31" s="3" t="s">
        <v>92</v>
      </c>
      <c r="AT31" s="3"/>
      <c r="AW31" s="2" t="s">
        <v>15</v>
      </c>
      <c r="AX31" s="3" t="s">
        <v>92</v>
      </c>
      <c r="AY31" s="3"/>
    </row>
    <row r="32" spans="1:51" x14ac:dyDescent="0.25">
      <c r="A32" t="s">
        <v>16</v>
      </c>
      <c r="B32" s="1">
        <v>0</v>
      </c>
      <c r="C32" s="1"/>
      <c r="E32" t="s">
        <v>16</v>
      </c>
      <c r="F32" s="1">
        <v>0</v>
      </c>
      <c r="G32" s="1"/>
      <c r="I32" t="s">
        <v>16</v>
      </c>
      <c r="J32" s="1">
        <v>0</v>
      </c>
      <c r="K32" s="1"/>
      <c r="M32" t="s">
        <v>16</v>
      </c>
      <c r="N32" s="1">
        <v>70000</v>
      </c>
      <c r="O32" s="1"/>
      <c r="Q32" t="s">
        <v>16</v>
      </c>
      <c r="R32" s="1">
        <v>75000</v>
      </c>
      <c r="S32" s="1"/>
      <c r="T32" s="1"/>
      <c r="U32" t="s">
        <v>16</v>
      </c>
      <c r="V32" s="1">
        <v>82000</v>
      </c>
      <c r="W32" s="1"/>
      <c r="Y32" t="s">
        <v>16</v>
      </c>
      <c r="Z32" s="1">
        <v>70000</v>
      </c>
      <c r="AA32" s="1"/>
      <c r="AC32" t="s">
        <v>16</v>
      </c>
      <c r="AD32" s="1">
        <v>100000</v>
      </c>
      <c r="AE32" s="1"/>
      <c r="AH32" t="s">
        <v>16</v>
      </c>
      <c r="AI32" s="1">
        <v>74000</v>
      </c>
      <c r="AJ32" s="1"/>
      <c r="AL32" s="10"/>
      <c r="AM32" t="s">
        <v>16</v>
      </c>
      <c r="AN32" s="1">
        <v>10000</v>
      </c>
      <c r="AO32" s="1"/>
      <c r="AR32" t="s">
        <v>16</v>
      </c>
      <c r="AS32" s="1">
        <v>15000</v>
      </c>
      <c r="AT32" s="1"/>
      <c r="AW32" t="s">
        <v>16</v>
      </c>
      <c r="AX32" s="1">
        <v>95000</v>
      </c>
      <c r="AY32" s="1"/>
    </row>
    <row r="33" spans="1:51" x14ac:dyDescent="0.25">
      <c r="A33" t="s">
        <v>17</v>
      </c>
      <c r="B33" s="1">
        <v>377465.59999999998</v>
      </c>
      <c r="C33" s="1"/>
      <c r="E33" t="s">
        <v>17</v>
      </c>
      <c r="F33" s="1">
        <v>337465.59999999998</v>
      </c>
      <c r="G33" s="1"/>
      <c r="I33" t="s">
        <v>17</v>
      </c>
      <c r="J33" s="1">
        <v>398065.6</v>
      </c>
      <c r="K33" s="1"/>
      <c r="M33" t="s">
        <v>17</v>
      </c>
      <c r="N33" s="1">
        <v>398000</v>
      </c>
      <c r="O33" s="1"/>
      <c r="Q33" t="s">
        <v>17</v>
      </c>
      <c r="R33" s="1">
        <v>398000</v>
      </c>
      <c r="S33" s="1"/>
      <c r="T33" s="1"/>
      <c r="U33" t="s">
        <v>17</v>
      </c>
      <c r="V33" s="1">
        <v>398000</v>
      </c>
      <c r="W33" s="1"/>
      <c r="Y33" t="s">
        <v>17</v>
      </c>
      <c r="Z33" s="1">
        <v>398000</v>
      </c>
      <c r="AA33" s="1"/>
      <c r="AC33" t="s">
        <v>17</v>
      </c>
      <c r="AD33" s="1">
        <v>398000</v>
      </c>
      <c r="AE33" s="1"/>
      <c r="AH33" t="s">
        <v>17</v>
      </c>
      <c r="AI33" s="1">
        <v>398000</v>
      </c>
      <c r="AJ33" s="1"/>
      <c r="AL33" s="10"/>
      <c r="AM33" t="s">
        <v>17</v>
      </c>
      <c r="AN33" s="1">
        <v>410000</v>
      </c>
      <c r="AO33" s="1"/>
      <c r="AR33" t="s">
        <v>17</v>
      </c>
      <c r="AS33" s="1">
        <v>750000</v>
      </c>
      <c r="AT33" s="1"/>
      <c r="AW33" t="s">
        <v>17</v>
      </c>
      <c r="AX33" s="1">
        <v>750000</v>
      </c>
      <c r="AY33" s="1"/>
    </row>
    <row r="34" spans="1:51" x14ac:dyDescent="0.25">
      <c r="A34" t="s">
        <v>18</v>
      </c>
      <c r="B34" s="1">
        <v>5678.18</v>
      </c>
      <c r="C34" s="1"/>
      <c r="E34" t="s">
        <v>18</v>
      </c>
      <c r="F34" s="1">
        <v>0</v>
      </c>
      <c r="G34" s="1"/>
      <c r="I34" t="s">
        <v>18</v>
      </c>
      <c r="J34" s="1">
        <v>35475</v>
      </c>
      <c r="K34" s="1"/>
      <c r="M34" t="s">
        <v>18</v>
      </c>
      <c r="N34" s="1">
        <v>0</v>
      </c>
      <c r="O34" s="1"/>
      <c r="Q34" t="s">
        <v>18</v>
      </c>
      <c r="R34" s="1">
        <v>22827</v>
      </c>
      <c r="S34" s="1"/>
      <c r="T34" s="1"/>
      <c r="U34" t="s">
        <v>18</v>
      </c>
      <c r="V34" s="1"/>
      <c r="W34" s="1"/>
      <c r="Y34" t="s">
        <v>18</v>
      </c>
      <c r="Z34" s="1"/>
      <c r="AA34" s="1"/>
      <c r="AC34" t="s">
        <v>18</v>
      </c>
      <c r="AD34" s="1"/>
      <c r="AE34" s="1"/>
      <c r="AH34" t="s">
        <v>18</v>
      </c>
      <c r="AI34" s="1"/>
      <c r="AJ34" s="1"/>
      <c r="AL34" s="10"/>
      <c r="AM34" t="s">
        <v>18</v>
      </c>
      <c r="AN34" s="1"/>
      <c r="AO34" s="1"/>
      <c r="AR34" t="s">
        <v>18</v>
      </c>
      <c r="AS34" s="1">
        <v>4312</v>
      </c>
      <c r="AT34" s="1"/>
      <c r="AW34" t="s">
        <v>18</v>
      </c>
      <c r="AX34" s="1">
        <v>5331.2</v>
      </c>
      <c r="AY34" s="1"/>
    </row>
    <row r="35" spans="1:51" x14ac:dyDescent="0.25">
      <c r="A35" t="s">
        <v>19</v>
      </c>
      <c r="B35" s="1">
        <v>56000</v>
      </c>
      <c r="C35" s="1"/>
      <c r="E35" t="s">
        <v>19</v>
      </c>
      <c r="F35" s="1">
        <v>99000</v>
      </c>
      <c r="G35" s="1"/>
      <c r="I35" t="s">
        <v>19</v>
      </c>
      <c r="J35" s="1">
        <v>74150</v>
      </c>
      <c r="K35" s="1"/>
      <c r="M35" t="s">
        <v>19</v>
      </c>
      <c r="N35" s="1">
        <v>55500</v>
      </c>
      <c r="O35" s="1"/>
      <c r="Q35" t="s">
        <v>19</v>
      </c>
      <c r="R35" s="1">
        <v>201000</v>
      </c>
      <c r="S35" s="1"/>
      <c r="T35" s="1"/>
      <c r="U35" t="s">
        <v>19</v>
      </c>
      <c r="V35" s="1">
        <v>88500</v>
      </c>
      <c r="W35" s="1"/>
      <c r="Y35" t="s">
        <v>19</v>
      </c>
      <c r="Z35" s="1">
        <v>205000</v>
      </c>
      <c r="AA35" s="1"/>
      <c r="AC35" t="s">
        <v>19</v>
      </c>
      <c r="AD35" s="1">
        <v>58000</v>
      </c>
      <c r="AE35" s="1"/>
      <c r="AH35" t="s">
        <v>19</v>
      </c>
      <c r="AI35" s="1">
        <v>59000</v>
      </c>
      <c r="AJ35" s="1"/>
      <c r="AL35" s="10"/>
      <c r="AM35" t="s">
        <v>19</v>
      </c>
      <c r="AN35" s="1">
        <v>125654</v>
      </c>
      <c r="AO35" s="1"/>
      <c r="AR35" t="s">
        <v>19</v>
      </c>
      <c r="AS35" s="1">
        <v>107000</v>
      </c>
      <c r="AT35" s="1"/>
      <c r="AW35" t="s">
        <v>19</v>
      </c>
      <c r="AX35" s="1">
        <v>377200</v>
      </c>
      <c r="AY35" s="1"/>
    </row>
    <row r="36" spans="1:51" x14ac:dyDescent="0.25">
      <c r="A36" t="s">
        <v>20</v>
      </c>
      <c r="B36" s="1">
        <v>361000</v>
      </c>
      <c r="C36" s="1"/>
      <c r="E36" t="s">
        <v>20</v>
      </c>
      <c r="F36" s="1">
        <v>50000</v>
      </c>
      <c r="G36" s="1"/>
      <c r="I36" t="s">
        <v>20</v>
      </c>
      <c r="J36" s="1">
        <v>0</v>
      </c>
      <c r="K36" s="1"/>
      <c r="M36" t="s">
        <v>20</v>
      </c>
      <c r="N36" s="1">
        <v>0</v>
      </c>
      <c r="O36" s="1"/>
      <c r="Q36" t="s">
        <v>20</v>
      </c>
      <c r="R36" s="1">
        <v>0</v>
      </c>
      <c r="S36" s="1"/>
      <c r="T36" s="1"/>
      <c r="U36" t="s">
        <v>20</v>
      </c>
      <c r="V36" s="1">
        <v>150000</v>
      </c>
      <c r="W36" s="1"/>
      <c r="Y36" t="s">
        <v>20</v>
      </c>
      <c r="Z36" s="1">
        <v>150000</v>
      </c>
      <c r="AA36" s="1"/>
      <c r="AC36" t="s">
        <v>20</v>
      </c>
      <c r="AD36" s="1">
        <v>167000</v>
      </c>
      <c r="AE36" s="1"/>
      <c r="AH36" t="s">
        <v>20</v>
      </c>
      <c r="AI36" s="1"/>
      <c r="AJ36" s="1"/>
      <c r="AL36" s="10"/>
      <c r="AM36" t="s">
        <v>20</v>
      </c>
      <c r="AN36" s="1"/>
      <c r="AO36" s="1"/>
      <c r="AR36" t="s">
        <v>20</v>
      </c>
      <c r="AS36" s="1">
        <v>150000</v>
      </c>
      <c r="AT36" s="1"/>
      <c r="AW36" t="s">
        <v>20</v>
      </c>
      <c r="AX36" s="1">
        <v>0</v>
      </c>
      <c r="AY36" s="1"/>
    </row>
    <row r="37" spans="1:51" x14ac:dyDescent="0.25">
      <c r="A37" t="s">
        <v>21</v>
      </c>
      <c r="B37" s="1">
        <v>0</v>
      </c>
      <c r="C37" s="1"/>
      <c r="E37" t="s">
        <v>21</v>
      </c>
      <c r="F37" s="1">
        <v>872000</v>
      </c>
      <c r="G37" s="1"/>
      <c r="I37" t="s">
        <v>21</v>
      </c>
      <c r="J37" s="1">
        <v>0</v>
      </c>
      <c r="K37" s="1"/>
      <c r="M37" t="s">
        <v>21</v>
      </c>
      <c r="N37" s="1">
        <v>366205</v>
      </c>
      <c r="O37" s="1"/>
      <c r="Q37" t="s">
        <v>21</v>
      </c>
      <c r="R37" s="1">
        <v>10000</v>
      </c>
      <c r="S37" s="1"/>
      <c r="T37" s="1"/>
      <c r="U37" t="s">
        <v>21</v>
      </c>
      <c r="V37" s="1">
        <v>52500</v>
      </c>
      <c r="W37" s="1"/>
      <c r="Y37" t="s">
        <v>21</v>
      </c>
      <c r="Z37" s="1">
        <v>593000</v>
      </c>
      <c r="AA37" s="1"/>
      <c r="AC37" t="s">
        <v>21</v>
      </c>
      <c r="AD37" s="1">
        <v>0</v>
      </c>
      <c r="AE37" s="1"/>
      <c r="AH37" t="s">
        <v>21</v>
      </c>
      <c r="AI37" s="1">
        <v>425000</v>
      </c>
      <c r="AJ37" s="1"/>
      <c r="AL37" s="10"/>
      <c r="AM37" t="s">
        <v>21</v>
      </c>
      <c r="AN37" s="1">
        <v>650000</v>
      </c>
      <c r="AO37" s="1"/>
      <c r="AR37" t="s">
        <v>21</v>
      </c>
      <c r="AS37" s="1">
        <v>880841</v>
      </c>
      <c r="AT37" s="1"/>
      <c r="AW37" t="s">
        <v>21</v>
      </c>
      <c r="AX37" s="1">
        <v>377186</v>
      </c>
      <c r="AY37" s="1"/>
    </row>
    <row r="38" spans="1:51" x14ac:dyDescent="0.25">
      <c r="A38" t="s">
        <v>22</v>
      </c>
      <c r="B38" s="1">
        <v>53900</v>
      </c>
      <c r="C38" s="1"/>
      <c r="E38" t="s">
        <v>22</v>
      </c>
      <c r="F38" s="1">
        <v>0</v>
      </c>
      <c r="G38" s="1"/>
      <c r="I38" t="s">
        <v>22</v>
      </c>
      <c r="J38" s="1">
        <v>0</v>
      </c>
      <c r="K38" s="1"/>
      <c r="M38" t="s">
        <v>22</v>
      </c>
      <c r="N38" s="1">
        <v>0</v>
      </c>
      <c r="O38" s="1"/>
      <c r="Q38" t="s">
        <v>22</v>
      </c>
      <c r="R38" s="1">
        <v>0</v>
      </c>
      <c r="S38" s="1"/>
      <c r="T38" s="1"/>
      <c r="U38" t="s">
        <v>22</v>
      </c>
      <c r="V38" s="1"/>
      <c r="W38" s="1"/>
      <c r="Y38" t="s">
        <v>22</v>
      </c>
      <c r="Z38" s="1"/>
      <c r="AA38" s="1"/>
      <c r="AC38" t="s">
        <v>22</v>
      </c>
      <c r="AD38" s="1"/>
      <c r="AE38" s="1"/>
      <c r="AH38" t="s">
        <v>22</v>
      </c>
      <c r="AI38" s="1"/>
      <c r="AJ38" s="1"/>
      <c r="AL38" s="10"/>
      <c r="AM38" t="s">
        <v>22</v>
      </c>
      <c r="AN38" s="1">
        <v>1000000</v>
      </c>
      <c r="AO38" s="1"/>
      <c r="AR38" t="s">
        <v>22</v>
      </c>
      <c r="AS38" s="1"/>
      <c r="AT38" s="1"/>
      <c r="AW38" t="s">
        <v>22</v>
      </c>
      <c r="AX38" s="1">
        <v>0</v>
      </c>
      <c r="AY38" s="1"/>
    </row>
    <row r="39" spans="1:51" x14ac:dyDescent="0.25">
      <c r="A39" t="s">
        <v>23</v>
      </c>
      <c r="B39" s="1">
        <v>0</v>
      </c>
      <c r="C39" s="1"/>
      <c r="E39" t="s">
        <v>23</v>
      </c>
      <c r="F39" s="1">
        <v>25000</v>
      </c>
      <c r="G39" s="1"/>
      <c r="I39" t="s">
        <v>23</v>
      </c>
      <c r="J39" s="1">
        <v>25000</v>
      </c>
      <c r="K39" s="1"/>
      <c r="M39" t="s">
        <v>23</v>
      </c>
      <c r="N39" s="1">
        <v>0</v>
      </c>
      <c r="O39" s="1"/>
      <c r="Q39" t="s">
        <v>23</v>
      </c>
      <c r="R39" s="1">
        <v>0</v>
      </c>
      <c r="S39" s="1"/>
      <c r="T39" s="1"/>
      <c r="U39" t="s">
        <v>23</v>
      </c>
      <c r="V39" s="1"/>
      <c r="W39" s="1"/>
      <c r="Y39" t="s">
        <v>23</v>
      </c>
      <c r="Z39" s="1"/>
      <c r="AA39" s="1"/>
      <c r="AC39" t="s">
        <v>23</v>
      </c>
      <c r="AD39" s="1"/>
      <c r="AE39" s="1"/>
      <c r="AH39" t="s">
        <v>23</v>
      </c>
      <c r="AI39" s="1"/>
      <c r="AJ39" s="1"/>
      <c r="AL39" s="10"/>
      <c r="AM39" t="s">
        <v>23</v>
      </c>
      <c r="AN39" s="1"/>
      <c r="AO39" s="1"/>
      <c r="AR39" t="s">
        <v>23</v>
      </c>
      <c r="AS39" s="1">
        <v>30000</v>
      </c>
      <c r="AT39" s="1"/>
      <c r="AW39" t="s">
        <v>23</v>
      </c>
      <c r="AX39" s="1">
        <v>210000</v>
      </c>
      <c r="AY39" s="1"/>
    </row>
    <row r="40" spans="1:51" x14ac:dyDescent="0.25">
      <c r="A40" t="s">
        <v>69</v>
      </c>
      <c r="B40" s="1">
        <v>0</v>
      </c>
      <c r="C40" s="1"/>
      <c r="E40" t="s">
        <v>69</v>
      </c>
      <c r="F40" s="1">
        <v>0</v>
      </c>
      <c r="G40" s="1"/>
      <c r="I40" t="s">
        <v>69</v>
      </c>
      <c r="J40" s="1">
        <v>0</v>
      </c>
      <c r="K40" s="1"/>
      <c r="M40" t="s">
        <v>69</v>
      </c>
      <c r="N40" s="1">
        <v>0</v>
      </c>
      <c r="O40" s="1"/>
      <c r="Q40" t="s">
        <v>69</v>
      </c>
      <c r="R40" s="1">
        <v>0</v>
      </c>
      <c r="S40" s="1"/>
      <c r="T40" s="1"/>
      <c r="U40" t="s">
        <v>69</v>
      </c>
      <c r="V40" s="1"/>
      <c r="W40" s="1"/>
      <c r="Y40" t="s">
        <v>69</v>
      </c>
      <c r="Z40" s="1"/>
      <c r="AA40" s="1"/>
      <c r="AC40" t="s">
        <v>69</v>
      </c>
      <c r="AD40" s="1"/>
      <c r="AE40" s="1"/>
      <c r="AH40" t="s">
        <v>69</v>
      </c>
      <c r="AI40" s="1"/>
      <c r="AJ40" s="1"/>
      <c r="AL40" s="10"/>
      <c r="AM40" t="s">
        <v>69</v>
      </c>
      <c r="AN40" s="1"/>
      <c r="AO40" s="1"/>
      <c r="AR40" t="s">
        <v>69</v>
      </c>
      <c r="AS40" s="1"/>
      <c r="AT40" s="1"/>
      <c r="AW40" t="s">
        <v>69</v>
      </c>
      <c r="AX40" s="1"/>
      <c r="AY40" s="1"/>
    </row>
    <row r="41" spans="1:51" x14ac:dyDescent="0.25">
      <c r="A41" t="s">
        <v>24</v>
      </c>
      <c r="B41" s="1">
        <v>182800</v>
      </c>
      <c r="C41" s="1"/>
      <c r="E41" t="s">
        <v>24</v>
      </c>
      <c r="F41" s="1">
        <v>125000</v>
      </c>
      <c r="G41" s="1"/>
      <c r="I41" t="s">
        <v>24</v>
      </c>
      <c r="J41" s="1">
        <v>887000</v>
      </c>
      <c r="K41" s="1"/>
      <c r="M41" t="s">
        <v>24</v>
      </c>
      <c r="N41" s="1">
        <v>0</v>
      </c>
      <c r="O41" s="1"/>
      <c r="Q41" t="s">
        <v>24</v>
      </c>
      <c r="R41" s="1">
        <v>0</v>
      </c>
      <c r="S41" s="1"/>
      <c r="T41" s="1"/>
      <c r="U41" t="s">
        <v>24</v>
      </c>
      <c r="V41" s="1"/>
      <c r="W41" s="1"/>
      <c r="Y41" t="s">
        <v>24</v>
      </c>
      <c r="Z41" s="1"/>
      <c r="AA41" s="1"/>
      <c r="AC41" t="s">
        <v>24</v>
      </c>
      <c r="AD41" s="1"/>
      <c r="AE41" s="1"/>
      <c r="AH41" t="s">
        <v>24</v>
      </c>
      <c r="AI41" s="1"/>
      <c r="AJ41" s="1"/>
      <c r="AL41" s="10"/>
      <c r="AM41" t="s">
        <v>24</v>
      </c>
      <c r="AN41" s="1"/>
      <c r="AO41" s="1"/>
      <c r="AR41" t="s">
        <v>24</v>
      </c>
      <c r="AS41" s="1"/>
      <c r="AT41" s="1"/>
      <c r="AW41" t="s">
        <v>24</v>
      </c>
      <c r="AX41" s="1">
        <v>300000</v>
      </c>
      <c r="AY41" s="1"/>
    </row>
    <row r="42" spans="1:51" x14ac:dyDescent="0.25">
      <c r="A42" t="s">
        <v>25</v>
      </c>
      <c r="B42" s="1">
        <v>0</v>
      </c>
      <c r="C42" s="1"/>
      <c r="E42" t="s">
        <v>25</v>
      </c>
      <c r="F42" s="1">
        <v>0</v>
      </c>
      <c r="G42" s="1"/>
      <c r="I42" t="s">
        <v>25</v>
      </c>
      <c r="J42" s="1">
        <v>541527</v>
      </c>
      <c r="K42" s="1"/>
      <c r="M42" t="s">
        <v>25</v>
      </c>
      <c r="N42" s="1">
        <v>120000</v>
      </c>
      <c r="O42" s="1"/>
      <c r="Q42" t="s">
        <v>25</v>
      </c>
      <c r="R42" s="1">
        <v>0</v>
      </c>
      <c r="S42" s="1"/>
      <c r="T42" s="1"/>
      <c r="U42" t="s">
        <v>25</v>
      </c>
      <c r="V42" s="1">
        <v>400000</v>
      </c>
      <c r="W42" s="1"/>
      <c r="Y42" t="s">
        <v>25</v>
      </c>
      <c r="Z42" s="1">
        <v>0</v>
      </c>
      <c r="AA42" s="1"/>
      <c r="AC42" t="s">
        <v>25</v>
      </c>
      <c r="AD42" s="1">
        <v>0</v>
      </c>
      <c r="AE42" s="1"/>
      <c r="AH42" t="s">
        <v>25</v>
      </c>
      <c r="AI42" s="1">
        <v>0</v>
      </c>
      <c r="AJ42" s="1"/>
      <c r="AL42" s="10"/>
      <c r="AM42" t="s">
        <v>25</v>
      </c>
      <c r="AN42" s="1">
        <v>0</v>
      </c>
      <c r="AO42" s="1"/>
      <c r="AR42" t="s">
        <v>25</v>
      </c>
      <c r="AS42" s="1"/>
      <c r="AT42" s="1"/>
      <c r="AW42" t="s">
        <v>25</v>
      </c>
      <c r="AX42" s="1"/>
      <c r="AY42" s="1"/>
    </row>
    <row r="43" spans="1:51" x14ac:dyDescent="0.25">
      <c r="B43" s="1">
        <f>SUM(B32:B42)</f>
        <v>1036843.78</v>
      </c>
      <c r="C43" s="1"/>
      <c r="F43" s="1">
        <f>SUM(F32:F42)</f>
        <v>1508465.6</v>
      </c>
      <c r="G43" s="1"/>
      <c r="J43" s="1">
        <f>SUM(J32:J42)</f>
        <v>1961217.6</v>
      </c>
      <c r="K43" s="1"/>
      <c r="N43" s="1">
        <f>SUM(N32:N42)</f>
        <v>1009705</v>
      </c>
      <c r="O43" s="1"/>
      <c r="R43" s="1">
        <f>SUM(R32:R42)</f>
        <v>706827</v>
      </c>
      <c r="S43" s="1"/>
      <c r="T43" s="1"/>
      <c r="V43" s="1">
        <f>SUM(V32:V42)</f>
        <v>1171000</v>
      </c>
      <c r="W43" s="1"/>
      <c r="Z43" s="1">
        <f>SUM(Z32:Z42)</f>
        <v>1416000</v>
      </c>
      <c r="AA43" s="1"/>
      <c r="AD43" s="1">
        <f>SUM(AD32:AD42)</f>
        <v>723000</v>
      </c>
      <c r="AE43" s="1"/>
      <c r="AI43" s="1">
        <f>SUM(AI32:AI42)</f>
        <v>956000</v>
      </c>
      <c r="AJ43" s="1"/>
      <c r="AL43" s="10"/>
      <c r="AN43" s="1">
        <f>SUM(AN32:AN42)</f>
        <v>2195654</v>
      </c>
      <c r="AO43" s="1"/>
      <c r="AS43" s="1">
        <f>SUM(AS32:AS42)</f>
        <v>1937153</v>
      </c>
      <c r="AT43" s="1"/>
      <c r="AX43" s="1">
        <f>SUM(AX32:AX42)</f>
        <v>2114717.2000000002</v>
      </c>
      <c r="AY43" s="1"/>
    </row>
    <row r="44" spans="1:51" x14ac:dyDescent="0.25">
      <c r="A44" s="2" t="s">
        <v>26</v>
      </c>
      <c r="B44" s="3"/>
      <c r="C44" s="3">
        <f>C29-B43</f>
        <v>7235021.549999998</v>
      </c>
      <c r="E44" s="2" t="s">
        <v>26</v>
      </c>
      <c r="F44" s="3"/>
      <c r="G44" s="3">
        <f>G29-F43</f>
        <v>22704110.399999999</v>
      </c>
      <c r="I44" s="2" t="s">
        <v>26</v>
      </c>
      <c r="J44" s="3"/>
      <c r="K44" s="3">
        <f>K29-J43</f>
        <v>22320920.57</v>
      </c>
      <c r="M44" s="2" t="s">
        <v>26</v>
      </c>
      <c r="N44" s="3"/>
      <c r="O44" s="3">
        <f>O29-N43</f>
        <v>1853661</v>
      </c>
      <c r="Q44" s="2" t="s">
        <v>26</v>
      </c>
      <c r="R44" s="3"/>
      <c r="S44" s="3">
        <f>S29-R43</f>
        <v>37929247</v>
      </c>
      <c r="T44" s="1"/>
      <c r="U44" s="2" t="s">
        <v>26</v>
      </c>
      <c r="V44" s="3"/>
      <c r="W44" s="3">
        <f>W29-V43</f>
        <v>-4967786</v>
      </c>
      <c r="Y44" s="2" t="s">
        <v>26</v>
      </c>
      <c r="Z44" s="3"/>
      <c r="AA44" s="3">
        <f>AA29-Z43</f>
        <v>9879926</v>
      </c>
      <c r="AC44" s="2" t="s">
        <v>26</v>
      </c>
      <c r="AD44" s="3"/>
      <c r="AE44" s="3">
        <f>AE29-AD43</f>
        <v>15419620</v>
      </c>
      <c r="AH44" s="2" t="s">
        <v>26</v>
      </c>
      <c r="AI44" s="3"/>
      <c r="AJ44" s="3">
        <f>AJ29-AI43</f>
        <v>-308066</v>
      </c>
      <c r="AL44" s="10"/>
      <c r="AM44" s="2" t="s">
        <v>26</v>
      </c>
      <c r="AN44" s="3"/>
      <c r="AO44" s="3">
        <f>AO29-AN43</f>
        <v>-3606340</v>
      </c>
      <c r="AR44" s="2" t="s">
        <v>26</v>
      </c>
      <c r="AS44" s="3"/>
      <c r="AT44" s="3">
        <f>AT29-AS43</f>
        <v>16826010</v>
      </c>
      <c r="AW44" s="2" t="s">
        <v>26</v>
      </c>
      <c r="AX44" s="3"/>
      <c r="AY44" s="3">
        <f>AY29-AX43</f>
        <v>76164.799999999814</v>
      </c>
    </row>
    <row r="45" spans="1:51" x14ac:dyDescent="0.25">
      <c r="B45" s="1"/>
      <c r="C45" s="1"/>
      <c r="F45" s="1"/>
      <c r="G45" s="1"/>
      <c r="J45" s="1"/>
      <c r="K45" s="1"/>
      <c r="N45" s="1"/>
      <c r="O45" s="1"/>
      <c r="R45" s="1"/>
      <c r="S45" s="1"/>
      <c r="T45" s="1"/>
      <c r="V45" s="1"/>
      <c r="W45" s="1"/>
      <c r="Z45" s="1"/>
      <c r="AA45" s="1"/>
      <c r="AD45" s="1"/>
      <c r="AE45" s="1"/>
      <c r="AI45" s="1"/>
      <c r="AJ45" s="1"/>
      <c r="AL45" s="10"/>
      <c r="AN45" s="1"/>
      <c r="AO45" s="1"/>
      <c r="AS45" s="1"/>
      <c r="AT45" s="1"/>
      <c r="AX45" s="1"/>
      <c r="AY45" s="1"/>
    </row>
    <row r="46" spans="1:51" x14ac:dyDescent="0.25">
      <c r="A46" t="s">
        <v>68</v>
      </c>
      <c r="B46" s="1">
        <v>500000</v>
      </c>
      <c r="C46" s="1"/>
      <c r="E46" t="s">
        <v>68</v>
      </c>
      <c r="F46" s="1">
        <v>900000</v>
      </c>
      <c r="G46" s="1"/>
      <c r="I46" t="s">
        <v>68</v>
      </c>
      <c r="J46" s="1">
        <v>500000</v>
      </c>
      <c r="K46" s="1"/>
      <c r="M46" t="s">
        <v>68</v>
      </c>
      <c r="N46" s="1">
        <v>500000</v>
      </c>
      <c r="O46" s="1"/>
      <c r="Q46" t="s">
        <v>68</v>
      </c>
      <c r="R46" s="1">
        <v>500000</v>
      </c>
      <c r="S46" s="1"/>
      <c r="T46" s="1"/>
      <c r="U46" t="s">
        <v>68</v>
      </c>
      <c r="V46" s="1">
        <v>500000</v>
      </c>
      <c r="W46" s="1"/>
      <c r="Y46" t="s">
        <v>68</v>
      </c>
      <c r="Z46" s="1">
        <v>500000</v>
      </c>
      <c r="AA46" s="1"/>
      <c r="AC46" t="s">
        <v>68</v>
      </c>
      <c r="AD46" s="1">
        <v>500000</v>
      </c>
      <c r="AE46" s="1"/>
      <c r="AH46" t="s">
        <v>68</v>
      </c>
      <c r="AI46" s="1">
        <v>500000</v>
      </c>
      <c r="AJ46" s="1"/>
      <c r="AL46" s="10"/>
      <c r="AM46" t="s">
        <v>68</v>
      </c>
      <c r="AN46" s="1">
        <v>706000</v>
      </c>
      <c r="AO46" s="1"/>
      <c r="AR46" t="s">
        <v>68</v>
      </c>
      <c r="AS46" s="1"/>
      <c r="AT46" s="1"/>
      <c r="AW46" t="s">
        <v>68</v>
      </c>
      <c r="AX46" s="1"/>
      <c r="AY46" s="1"/>
    </row>
    <row r="47" spans="1:51" x14ac:dyDescent="0.25">
      <c r="A47" t="s">
        <v>27</v>
      </c>
      <c r="B47" s="1">
        <v>377000</v>
      </c>
      <c r="C47" s="1"/>
      <c r="E47" t="s">
        <v>27</v>
      </c>
      <c r="F47" s="1">
        <v>269600</v>
      </c>
      <c r="G47" s="1"/>
      <c r="I47" t="s">
        <v>27</v>
      </c>
      <c r="J47" s="1">
        <v>335000</v>
      </c>
      <c r="K47" s="1"/>
      <c r="M47" t="s">
        <v>27</v>
      </c>
      <c r="N47" s="1">
        <v>2337000</v>
      </c>
      <c r="O47" s="1"/>
      <c r="Q47" t="s">
        <v>27</v>
      </c>
      <c r="R47" s="1">
        <v>1154000</v>
      </c>
      <c r="S47" s="1"/>
      <c r="T47" s="1"/>
      <c r="U47" t="s">
        <v>27</v>
      </c>
      <c r="V47" s="1">
        <v>330000</v>
      </c>
      <c r="W47" s="1"/>
      <c r="Y47" t="s">
        <v>27</v>
      </c>
      <c r="Z47" s="1">
        <v>162000</v>
      </c>
      <c r="AA47" s="1"/>
      <c r="AC47" t="s">
        <v>27</v>
      </c>
      <c r="AD47" s="1">
        <v>2348000</v>
      </c>
      <c r="AE47" s="1"/>
      <c r="AH47" t="s">
        <v>27</v>
      </c>
      <c r="AI47" s="1">
        <v>48500</v>
      </c>
      <c r="AJ47" s="1"/>
      <c r="AL47" s="10"/>
      <c r="AM47" t="s">
        <v>27</v>
      </c>
      <c r="AN47" s="1">
        <v>190000</v>
      </c>
      <c r="AO47" s="1"/>
      <c r="AR47" t="s">
        <v>27</v>
      </c>
      <c r="AS47" s="1">
        <v>2315000</v>
      </c>
      <c r="AT47" s="1"/>
      <c r="AW47" t="s">
        <v>27</v>
      </c>
      <c r="AX47" s="1">
        <v>678000</v>
      </c>
      <c r="AY47" s="1"/>
    </row>
    <row r="48" spans="1:51" x14ac:dyDescent="0.25">
      <c r="A48" t="s">
        <v>152</v>
      </c>
      <c r="B48" s="1">
        <v>39000</v>
      </c>
      <c r="C48" s="1"/>
      <c r="E48" t="s">
        <v>152</v>
      </c>
      <c r="F48" s="1">
        <v>86000</v>
      </c>
      <c r="G48" s="1"/>
      <c r="I48" t="s">
        <v>152</v>
      </c>
      <c r="J48" s="1">
        <v>306000</v>
      </c>
      <c r="K48" s="1"/>
      <c r="M48" t="s">
        <v>152</v>
      </c>
      <c r="N48" s="1">
        <v>127500</v>
      </c>
      <c r="O48" s="1"/>
      <c r="Q48" t="s">
        <v>152</v>
      </c>
      <c r="R48" s="1">
        <v>36000</v>
      </c>
      <c r="S48" s="1"/>
      <c r="T48" s="1"/>
      <c r="U48" t="s">
        <v>152</v>
      </c>
      <c r="V48" s="1">
        <v>60000</v>
      </c>
      <c r="W48" s="1"/>
      <c r="Y48" t="s">
        <v>152</v>
      </c>
      <c r="Z48" s="1">
        <v>61000</v>
      </c>
      <c r="AA48" s="1"/>
      <c r="AC48" t="s">
        <v>152</v>
      </c>
      <c r="AD48" s="1">
        <v>0</v>
      </c>
      <c r="AE48" s="1"/>
      <c r="AH48" t="s">
        <v>152</v>
      </c>
      <c r="AI48" s="1">
        <v>1126000</v>
      </c>
      <c r="AJ48" s="1"/>
      <c r="AL48" s="10"/>
      <c r="AM48" t="s">
        <v>274</v>
      </c>
      <c r="AN48" s="1">
        <v>1000000</v>
      </c>
      <c r="AO48" s="1"/>
      <c r="AR48" t="s">
        <v>274</v>
      </c>
      <c r="AS48" s="1"/>
      <c r="AT48" s="1"/>
      <c r="AW48" t="s">
        <v>274</v>
      </c>
      <c r="AX48" s="1"/>
      <c r="AY48" s="1"/>
    </row>
    <row r="49" spans="1:51" x14ac:dyDescent="0.25">
      <c r="A49" t="s">
        <v>28</v>
      </c>
      <c r="B49" s="1">
        <v>69000</v>
      </c>
      <c r="C49" s="1"/>
      <c r="E49" t="s">
        <v>28</v>
      </c>
      <c r="F49" s="1">
        <v>39000</v>
      </c>
      <c r="G49" s="1"/>
      <c r="I49" t="s">
        <v>28</v>
      </c>
      <c r="J49" s="1">
        <v>0</v>
      </c>
      <c r="K49" s="1"/>
      <c r="M49" t="s">
        <v>28</v>
      </c>
      <c r="N49" s="1">
        <v>0</v>
      </c>
      <c r="O49" s="1"/>
      <c r="Q49" t="s">
        <v>194</v>
      </c>
      <c r="R49" s="1">
        <v>1213750</v>
      </c>
      <c r="S49" s="1"/>
      <c r="T49" s="1"/>
      <c r="U49" t="s">
        <v>219</v>
      </c>
      <c r="V49" s="1">
        <v>600000</v>
      </c>
      <c r="W49" s="1"/>
      <c r="Z49" s="1">
        <v>0</v>
      </c>
      <c r="AA49" s="1"/>
      <c r="AD49" s="1">
        <v>0</v>
      </c>
      <c r="AE49" s="1"/>
      <c r="AI49" s="1">
        <v>0</v>
      </c>
      <c r="AJ49" s="1"/>
      <c r="AL49" s="10"/>
      <c r="AN49" s="1">
        <v>0</v>
      </c>
      <c r="AO49" s="1"/>
      <c r="AS49" s="1">
        <v>0</v>
      </c>
      <c r="AT49" s="1"/>
      <c r="AX49" s="1">
        <v>0</v>
      </c>
      <c r="AY49" s="1"/>
    </row>
    <row r="50" spans="1:51" x14ac:dyDescent="0.25">
      <c r="B50" s="1">
        <f>SUM(B46:B49)</f>
        <v>985000</v>
      </c>
      <c r="C50" s="1"/>
      <c r="F50" s="1">
        <f>SUM(F46:F49)</f>
        <v>1294600</v>
      </c>
      <c r="G50" s="1"/>
      <c r="J50" s="1">
        <f>SUM(J46:J49)</f>
        <v>1141000</v>
      </c>
      <c r="K50" s="1"/>
      <c r="N50" s="1">
        <f>SUM(N46:N49)</f>
        <v>2964500</v>
      </c>
      <c r="O50" s="1"/>
      <c r="R50" s="1">
        <f>SUM(R46:R49)</f>
        <v>2903750</v>
      </c>
      <c r="S50" s="1"/>
      <c r="T50" s="1"/>
      <c r="V50" s="1">
        <f>SUM(V46:V49)</f>
        <v>1490000</v>
      </c>
      <c r="W50" s="1"/>
      <c r="Z50" s="1">
        <f>SUM(Z46:Z49)</f>
        <v>723000</v>
      </c>
      <c r="AA50" s="1"/>
      <c r="AD50" s="1">
        <f>SUM(AD46:AD49)</f>
        <v>2848000</v>
      </c>
      <c r="AE50" s="1"/>
      <c r="AI50" s="1">
        <f>SUM(AI46:AI49)</f>
        <v>1674500</v>
      </c>
      <c r="AJ50" s="1"/>
      <c r="AL50" s="10"/>
      <c r="AN50" s="1">
        <f>SUM(AN46:AN49)</f>
        <v>1896000</v>
      </c>
      <c r="AO50" s="1"/>
      <c r="AS50" s="1">
        <f>SUM(AS46:AS49)</f>
        <v>2315000</v>
      </c>
      <c r="AT50" s="1"/>
      <c r="AX50" s="1">
        <f>SUM(AX46:AX49)</f>
        <v>678000</v>
      </c>
      <c r="AY50" s="1"/>
    </row>
    <row r="51" spans="1:51" x14ac:dyDescent="0.25">
      <c r="A51" s="2"/>
      <c r="B51" s="3"/>
      <c r="C51" s="3">
        <f>C44-B50</f>
        <v>6250021.549999998</v>
      </c>
      <c r="E51" s="2"/>
      <c r="F51" s="3"/>
      <c r="G51" s="3">
        <f>G44-F50</f>
        <v>21409510.399999999</v>
      </c>
      <c r="I51" s="2"/>
      <c r="J51" s="3"/>
      <c r="K51" s="3">
        <f>K44-J50</f>
        <v>21179920.57</v>
      </c>
      <c r="M51" s="2"/>
      <c r="N51" s="3"/>
      <c r="O51" s="3">
        <f>O44-N50</f>
        <v>-1110839</v>
      </c>
      <c r="Q51" s="2"/>
      <c r="R51" s="3"/>
      <c r="S51" s="3">
        <f>S44-R50</f>
        <v>35025497</v>
      </c>
      <c r="T51" s="1"/>
      <c r="U51" s="2"/>
      <c r="V51" s="3"/>
      <c r="W51" s="3">
        <f>W44-V50</f>
        <v>-6457786</v>
      </c>
      <c r="Y51" s="2"/>
      <c r="Z51" s="3"/>
      <c r="AA51" s="3">
        <f>AA44-Z50</f>
        <v>9156926</v>
      </c>
      <c r="AC51" s="2"/>
      <c r="AD51" s="3"/>
      <c r="AE51" s="3">
        <f>AE44-AD50</f>
        <v>12571620</v>
      </c>
      <c r="AH51" s="2"/>
      <c r="AI51" s="3"/>
      <c r="AJ51" s="3">
        <f>AJ44-AI50</f>
        <v>-1982566</v>
      </c>
      <c r="AM51" s="2"/>
      <c r="AN51" s="3"/>
      <c r="AO51" s="3">
        <f>AO44-AN50</f>
        <v>-5502340</v>
      </c>
      <c r="AR51" s="2"/>
      <c r="AS51" s="3"/>
      <c r="AT51" s="3">
        <f>AT44-AS50</f>
        <v>14511010</v>
      </c>
      <c r="AW51" s="2"/>
      <c r="AX51" s="3"/>
      <c r="AY51" s="3">
        <f>AY44-AX50</f>
        <v>-601835.20000000019</v>
      </c>
    </row>
    <row r="52" spans="1:51" x14ac:dyDescent="0.25">
      <c r="B52" s="1"/>
      <c r="C52" s="1"/>
      <c r="F52" s="1"/>
      <c r="G52" s="1"/>
      <c r="J52" s="1"/>
      <c r="K52" s="1"/>
      <c r="N52" s="1"/>
      <c r="O52" s="1"/>
      <c r="R52" s="1"/>
      <c r="S52" s="1"/>
      <c r="T52" s="1"/>
      <c r="V52" s="1"/>
      <c r="W52" s="1"/>
      <c r="Z52" s="1"/>
      <c r="AA52" s="1"/>
      <c r="AB52" s="1"/>
      <c r="AD52" s="1"/>
      <c r="AE52" s="1"/>
      <c r="AG52" s="1"/>
      <c r="AI52" s="1"/>
      <c r="AJ52" s="1"/>
      <c r="AN52" s="1"/>
      <c r="AO52" s="1"/>
      <c r="AS52" s="1"/>
      <c r="AT52" s="1"/>
      <c r="AX52" s="1"/>
      <c r="AY52" s="1"/>
    </row>
    <row r="53" spans="1:51" x14ac:dyDescent="0.25">
      <c r="A53" s="42" t="s">
        <v>71</v>
      </c>
      <c r="B53" s="42"/>
      <c r="C53" s="42"/>
      <c r="E53" s="42" t="s">
        <v>71</v>
      </c>
      <c r="F53" s="42"/>
      <c r="G53" s="42"/>
      <c r="I53" s="42" t="s">
        <v>71</v>
      </c>
      <c r="J53" s="42"/>
      <c r="K53" s="42"/>
      <c r="M53" s="42" t="s">
        <v>71</v>
      </c>
      <c r="N53" s="42"/>
      <c r="O53" s="42"/>
      <c r="Q53" s="42" t="s">
        <v>71</v>
      </c>
      <c r="R53" s="42"/>
      <c r="S53" s="42"/>
      <c r="T53" s="1"/>
      <c r="U53" s="42" t="s">
        <v>71</v>
      </c>
      <c r="V53" s="42"/>
      <c r="W53" s="42"/>
      <c r="Y53" s="42" t="s">
        <v>71</v>
      </c>
      <c r="Z53" s="42"/>
      <c r="AA53" s="42"/>
      <c r="AC53" s="42" t="s">
        <v>71</v>
      </c>
      <c r="AD53" s="42"/>
      <c r="AE53" s="42"/>
      <c r="AH53" s="42" t="s">
        <v>71</v>
      </c>
      <c r="AI53" s="42"/>
      <c r="AJ53" s="42"/>
      <c r="AM53" s="42" t="s">
        <v>71</v>
      </c>
      <c r="AN53" s="42"/>
      <c r="AO53" s="42"/>
      <c r="AR53" s="42" t="s">
        <v>71</v>
      </c>
      <c r="AS53" s="42"/>
      <c r="AT53" s="42"/>
      <c r="AW53" s="42" t="s">
        <v>71</v>
      </c>
      <c r="AX53" s="42"/>
      <c r="AY53" s="42"/>
    </row>
    <row r="54" spans="1:51" x14ac:dyDescent="0.25">
      <c r="A54" s="42" t="s">
        <v>175</v>
      </c>
      <c r="B54" s="42"/>
      <c r="C54" s="42"/>
      <c r="E54" s="42" t="s">
        <v>176</v>
      </c>
      <c r="F54" s="42"/>
      <c r="G54" s="42"/>
      <c r="I54" s="42" t="s">
        <v>176</v>
      </c>
      <c r="J54" s="42"/>
      <c r="K54" s="42"/>
      <c r="M54" s="42" t="s">
        <v>190</v>
      </c>
      <c r="N54" s="42"/>
      <c r="O54" s="42"/>
      <c r="Q54" s="42" t="s">
        <v>192</v>
      </c>
      <c r="R54" s="42"/>
      <c r="S54" s="42"/>
      <c r="T54" s="1"/>
      <c r="U54" s="42" t="s">
        <v>195</v>
      </c>
      <c r="V54" s="42"/>
      <c r="W54" s="42"/>
      <c r="Y54" s="42" t="s">
        <v>195</v>
      </c>
      <c r="Z54" s="42"/>
      <c r="AA54" s="42"/>
      <c r="AC54" s="42" t="s">
        <v>240</v>
      </c>
      <c r="AD54" s="42"/>
      <c r="AE54" s="42"/>
      <c r="AH54" s="42" t="s">
        <v>147</v>
      </c>
      <c r="AI54" s="42"/>
      <c r="AJ54" s="42"/>
      <c r="AM54" s="42" t="s">
        <v>285</v>
      </c>
      <c r="AN54" s="42"/>
      <c r="AO54" s="42"/>
      <c r="AR54" s="42" t="s">
        <v>284</v>
      </c>
      <c r="AS54" s="42"/>
      <c r="AT54" s="42"/>
      <c r="AW54" s="42" t="s">
        <v>287</v>
      </c>
      <c r="AX54" s="42"/>
      <c r="AY54" s="42"/>
    </row>
    <row r="55" spans="1:51" x14ac:dyDescent="0.25">
      <c r="A55" t="s">
        <v>29</v>
      </c>
      <c r="B55" s="1">
        <f>B8</f>
        <v>106588500</v>
      </c>
      <c r="C55" s="1"/>
      <c r="E55" t="s">
        <v>29</v>
      </c>
      <c r="F55" s="1">
        <f>F8</f>
        <v>104326450</v>
      </c>
      <c r="G55" s="1"/>
      <c r="I55" t="s">
        <v>29</v>
      </c>
      <c r="J55" s="1">
        <f>J8</f>
        <v>172746600</v>
      </c>
      <c r="K55" s="1"/>
      <c r="M55" t="s">
        <v>29</v>
      </c>
      <c r="N55" s="1">
        <f>N8</f>
        <v>182105250</v>
      </c>
      <c r="O55" s="1"/>
      <c r="Q55" t="s">
        <v>29</v>
      </c>
      <c r="R55" s="1">
        <f>R8</f>
        <v>219791680</v>
      </c>
      <c r="S55" s="1"/>
      <c r="T55" s="1"/>
      <c r="U55" t="s">
        <v>29</v>
      </c>
      <c r="V55" s="1">
        <f>V8</f>
        <v>198432160</v>
      </c>
      <c r="W55" s="1"/>
      <c r="Y55" t="s">
        <v>29</v>
      </c>
      <c r="Z55" s="1">
        <f>Z8</f>
        <v>139718400</v>
      </c>
      <c r="AA55" s="1"/>
      <c r="AC55" t="s">
        <v>29</v>
      </c>
      <c r="AD55" s="1">
        <f>AD8</f>
        <v>165682950</v>
      </c>
      <c r="AE55" s="1"/>
      <c r="AH55" t="s">
        <v>29</v>
      </c>
      <c r="AI55" s="1">
        <f>AI8</f>
        <v>183265550</v>
      </c>
      <c r="AJ55" s="1"/>
      <c r="AM55" t="s">
        <v>29</v>
      </c>
      <c r="AN55" s="1">
        <f>AN8</f>
        <v>170146900</v>
      </c>
      <c r="AO55" s="1"/>
      <c r="AR55" t="s">
        <v>29</v>
      </c>
      <c r="AS55" s="1">
        <f>AS8</f>
        <v>177934700</v>
      </c>
      <c r="AT55" s="1"/>
      <c r="AW55" t="s">
        <v>29</v>
      </c>
      <c r="AX55" s="1">
        <f>AX8</f>
        <v>122651950</v>
      </c>
      <c r="AY55" s="1"/>
    </row>
    <row r="56" spans="1:51" x14ac:dyDescent="0.25">
      <c r="A56" t="s">
        <v>30</v>
      </c>
      <c r="B56" s="1">
        <v>72342</v>
      </c>
      <c r="C56" s="1"/>
      <c r="E56" t="s">
        <v>30</v>
      </c>
      <c r="F56" s="10">
        <v>2296420</v>
      </c>
      <c r="G56" s="1"/>
      <c r="I56" t="s">
        <v>30</v>
      </c>
      <c r="J56" s="10">
        <v>733900</v>
      </c>
      <c r="K56" s="1"/>
      <c r="M56" t="s">
        <v>30</v>
      </c>
      <c r="N56" s="10">
        <v>1929615</v>
      </c>
      <c r="O56" s="1"/>
      <c r="Q56" t="s">
        <v>30</v>
      </c>
      <c r="R56" s="10">
        <v>-1304605</v>
      </c>
      <c r="S56" s="1"/>
      <c r="T56" s="1"/>
      <c r="U56" t="s">
        <v>30</v>
      </c>
      <c r="V56" s="10">
        <v>-204311</v>
      </c>
      <c r="W56" s="1"/>
      <c r="Y56" t="s">
        <v>30</v>
      </c>
      <c r="Z56" s="10">
        <v>1866137</v>
      </c>
      <c r="AA56" s="1"/>
      <c r="AC56" t="s">
        <v>30</v>
      </c>
      <c r="AD56" s="10">
        <v>1180511</v>
      </c>
      <c r="AE56" s="1"/>
      <c r="AH56" t="s">
        <v>30</v>
      </c>
      <c r="AI56" s="10">
        <v>3750822</v>
      </c>
      <c r="AJ56" s="1"/>
      <c r="AM56" t="s">
        <v>30</v>
      </c>
      <c r="AN56" s="10">
        <v>3750822</v>
      </c>
      <c r="AO56" s="1"/>
      <c r="AR56" t="s">
        <v>30</v>
      </c>
      <c r="AS56" s="10">
        <v>3838067</v>
      </c>
      <c r="AT56" s="1"/>
      <c r="AW56" t="s">
        <v>30</v>
      </c>
      <c r="AX56" s="10">
        <v>410040</v>
      </c>
      <c r="AY56" s="1"/>
    </row>
    <row r="57" spans="1:51" x14ac:dyDescent="0.25">
      <c r="A57" t="s">
        <v>31</v>
      </c>
      <c r="B57" s="1">
        <v>5233045</v>
      </c>
      <c r="C57" s="1"/>
      <c r="E57" t="s">
        <v>31</v>
      </c>
      <c r="F57" s="1">
        <v>12645180</v>
      </c>
      <c r="G57" s="1"/>
      <c r="I57" t="s">
        <v>31</v>
      </c>
      <c r="J57" s="1">
        <v>2882789.65</v>
      </c>
      <c r="K57" s="1"/>
      <c r="M57" t="s">
        <v>31</v>
      </c>
      <c r="N57" s="1">
        <v>7039303</v>
      </c>
      <c r="O57" s="1"/>
      <c r="Q57" t="s">
        <v>31</v>
      </c>
      <c r="R57" s="1">
        <v>1158</v>
      </c>
      <c r="S57" s="1"/>
      <c r="T57" s="1"/>
      <c r="U57" t="s">
        <v>31</v>
      </c>
      <c r="V57" s="1">
        <v>78360</v>
      </c>
      <c r="W57" s="1"/>
      <c r="Y57" t="s">
        <v>31</v>
      </c>
      <c r="Z57" s="1">
        <v>1825337</v>
      </c>
      <c r="AA57" s="1"/>
      <c r="AC57" t="s">
        <v>31</v>
      </c>
      <c r="AD57" s="1">
        <v>1846922</v>
      </c>
      <c r="AE57" s="1"/>
      <c r="AH57" t="s">
        <v>31</v>
      </c>
      <c r="AI57" s="1">
        <v>298715</v>
      </c>
      <c r="AJ57" s="1"/>
      <c r="AM57" t="s">
        <v>31</v>
      </c>
      <c r="AN57" s="10">
        <v>2711241</v>
      </c>
      <c r="AO57" s="1"/>
      <c r="AR57" t="s">
        <v>31</v>
      </c>
      <c r="AS57" s="10">
        <v>555919</v>
      </c>
      <c r="AT57" s="1"/>
      <c r="AW57" t="s">
        <v>31</v>
      </c>
      <c r="AX57" s="10">
        <v>3497611</v>
      </c>
      <c r="AY57" s="1"/>
    </row>
    <row r="58" spans="1:51" x14ac:dyDescent="0.25">
      <c r="A58" t="s">
        <v>32</v>
      </c>
      <c r="B58" s="1">
        <v>0</v>
      </c>
      <c r="C58" s="1"/>
      <c r="E58" t="s">
        <v>32</v>
      </c>
      <c r="F58" s="1">
        <v>5866825.2400000002</v>
      </c>
      <c r="G58" s="1"/>
      <c r="I58" t="s">
        <v>32</v>
      </c>
      <c r="J58" s="1">
        <v>754096</v>
      </c>
      <c r="K58" s="1"/>
      <c r="M58" t="s">
        <v>32</v>
      </c>
      <c r="N58" s="1">
        <v>3803189</v>
      </c>
      <c r="O58" s="1"/>
      <c r="Q58" t="s">
        <v>32</v>
      </c>
      <c r="R58" s="1">
        <v>38000</v>
      </c>
      <c r="S58" s="1"/>
      <c r="T58" s="1"/>
      <c r="U58" t="s">
        <v>32</v>
      </c>
      <c r="V58" s="1">
        <v>2151225</v>
      </c>
      <c r="W58" s="1"/>
      <c r="Y58" t="s">
        <v>32</v>
      </c>
      <c r="Z58" s="1">
        <v>184000</v>
      </c>
      <c r="AA58" s="1"/>
      <c r="AC58" t="s">
        <v>32</v>
      </c>
      <c r="AD58" s="1">
        <v>0</v>
      </c>
      <c r="AE58" s="1"/>
      <c r="AH58" t="s">
        <v>32</v>
      </c>
      <c r="AI58" s="1">
        <v>0</v>
      </c>
      <c r="AJ58" s="1"/>
      <c r="AM58" t="s">
        <v>32</v>
      </c>
      <c r="AN58" s="1">
        <v>0</v>
      </c>
      <c r="AO58" s="1"/>
      <c r="AR58" t="s">
        <v>32</v>
      </c>
      <c r="AS58" s="10">
        <v>282572.09000000003</v>
      </c>
      <c r="AT58" s="1"/>
      <c r="AW58" t="s">
        <v>32</v>
      </c>
      <c r="AX58" s="10">
        <v>1249021.33</v>
      </c>
      <c r="AY58" s="1"/>
    </row>
    <row r="59" spans="1:51" x14ac:dyDescent="0.25">
      <c r="A59" t="s">
        <v>33</v>
      </c>
      <c r="B59" s="1">
        <v>278042</v>
      </c>
      <c r="C59" s="1"/>
      <c r="E59" t="s">
        <v>33</v>
      </c>
      <c r="F59" s="1">
        <v>278042</v>
      </c>
      <c r="G59" s="1"/>
      <c r="I59" t="s">
        <v>33</v>
      </c>
      <c r="J59" s="1">
        <v>278042</v>
      </c>
      <c r="K59" s="1"/>
      <c r="M59" t="s">
        <v>33</v>
      </c>
      <c r="N59" s="1">
        <v>278042</v>
      </c>
      <c r="O59" s="1"/>
      <c r="Q59" t="s">
        <v>33</v>
      </c>
      <c r="R59" s="1">
        <v>278042</v>
      </c>
      <c r="S59" s="1"/>
      <c r="T59" s="1"/>
      <c r="U59" t="s">
        <v>33</v>
      </c>
      <c r="V59" s="1">
        <v>278042</v>
      </c>
      <c r="W59" s="1"/>
      <c r="Y59" t="s">
        <v>33</v>
      </c>
      <c r="Z59" s="1">
        <v>278042</v>
      </c>
      <c r="AA59" s="1"/>
      <c r="AC59" t="s">
        <v>33</v>
      </c>
      <c r="AD59" s="1">
        <v>278042</v>
      </c>
      <c r="AE59" s="1"/>
      <c r="AH59" t="s">
        <v>33</v>
      </c>
      <c r="AI59" s="1">
        <v>278042</v>
      </c>
      <c r="AJ59" s="1"/>
      <c r="AM59" t="s">
        <v>33</v>
      </c>
      <c r="AN59" s="10">
        <v>278042</v>
      </c>
      <c r="AO59" s="1"/>
      <c r="AR59" t="s">
        <v>33</v>
      </c>
      <c r="AS59" s="1">
        <v>278042</v>
      </c>
      <c r="AT59" s="1"/>
      <c r="AW59" t="s">
        <v>33</v>
      </c>
      <c r="AX59" s="1">
        <v>278042</v>
      </c>
      <c r="AY59" s="1"/>
    </row>
    <row r="60" spans="1:51" x14ac:dyDescent="0.25">
      <c r="A60" t="s">
        <v>160</v>
      </c>
      <c r="B60" s="1">
        <v>8523888</v>
      </c>
      <c r="C60" s="1"/>
      <c r="E60" t="s">
        <v>160</v>
      </c>
      <c r="F60" s="1">
        <v>19465000</v>
      </c>
      <c r="G60" s="1"/>
      <c r="I60" t="s">
        <v>160</v>
      </c>
      <c r="J60" s="1">
        <v>5883466</v>
      </c>
      <c r="K60" s="1"/>
      <c r="M60" t="s">
        <v>160</v>
      </c>
      <c r="N60" s="1">
        <v>7039303.7400000002</v>
      </c>
      <c r="O60" s="1"/>
      <c r="Q60" t="s">
        <v>160</v>
      </c>
      <c r="R60" s="1">
        <v>6080056</v>
      </c>
      <c r="S60" s="1"/>
      <c r="T60" s="1"/>
      <c r="U60" t="s">
        <v>160</v>
      </c>
      <c r="V60" s="1">
        <v>872086</v>
      </c>
      <c r="W60" s="1"/>
      <c r="Y60" t="s">
        <v>160</v>
      </c>
      <c r="Z60" s="1">
        <v>15500509</v>
      </c>
      <c r="AA60" s="1"/>
      <c r="AC60" t="s">
        <v>160</v>
      </c>
      <c r="AD60" s="1">
        <v>4045193</v>
      </c>
      <c r="AE60" s="1"/>
      <c r="AH60" t="s">
        <v>160</v>
      </c>
      <c r="AI60" s="1">
        <v>7822514</v>
      </c>
      <c r="AJ60" s="1"/>
      <c r="AM60" t="s">
        <v>160</v>
      </c>
      <c r="AN60" s="1">
        <v>5137683</v>
      </c>
      <c r="AO60" s="1"/>
      <c r="AR60" t="s">
        <v>160</v>
      </c>
      <c r="AS60" s="10">
        <v>15006209</v>
      </c>
      <c r="AT60" s="1"/>
      <c r="AW60" t="s">
        <v>160</v>
      </c>
      <c r="AX60" s="10">
        <v>21448722</v>
      </c>
      <c r="AY60" s="1"/>
    </row>
    <row r="61" spans="1:51" x14ac:dyDescent="0.25">
      <c r="A61" s="2"/>
      <c r="B61" s="3"/>
      <c r="C61" s="3">
        <f>SUM(B55:B60)</f>
        <v>120695817</v>
      </c>
      <c r="E61" s="2"/>
      <c r="F61" s="3"/>
      <c r="G61" s="3">
        <f>SUM(F55:F60)</f>
        <v>144877917.24000001</v>
      </c>
      <c r="I61" s="2"/>
      <c r="J61" s="3"/>
      <c r="K61" s="3">
        <f>SUM(J55:J60)</f>
        <v>183278893.65000001</v>
      </c>
      <c r="M61" s="2"/>
      <c r="N61" s="3"/>
      <c r="O61" s="3">
        <f>SUM(N55:N60)</f>
        <v>202194702.74000001</v>
      </c>
      <c r="Q61" s="2"/>
      <c r="R61" s="3"/>
      <c r="S61" s="3">
        <f>SUM(R55:R60)</f>
        <v>224884331</v>
      </c>
      <c r="T61" s="1"/>
      <c r="U61" s="2"/>
      <c r="V61" s="3"/>
      <c r="W61" s="3">
        <f>SUM(V55:V60)</f>
        <v>201607562</v>
      </c>
      <c r="Y61" s="2"/>
      <c r="Z61" s="3"/>
      <c r="AA61" s="3">
        <f>SUM(Z55:Z60)</f>
        <v>159372425</v>
      </c>
      <c r="AC61" s="2"/>
      <c r="AD61" s="3"/>
      <c r="AE61" s="3">
        <f>SUM(AD55:AD60)</f>
        <v>173033618</v>
      </c>
      <c r="AH61" s="2"/>
      <c r="AI61" s="3"/>
      <c r="AJ61" s="3">
        <f>SUM(AI55:AI60)</f>
        <v>195415643</v>
      </c>
      <c r="AM61" s="2"/>
      <c r="AN61" s="3"/>
      <c r="AO61" s="3">
        <f>SUM(AN55:AN60)</f>
        <v>182024688</v>
      </c>
      <c r="AR61" s="2"/>
      <c r="AS61" s="3"/>
      <c r="AT61" s="3">
        <f>SUM(AS55:AS60)</f>
        <v>197895509.09</v>
      </c>
      <c r="AW61" s="2"/>
      <c r="AX61" s="3"/>
      <c r="AY61" s="3">
        <f>SUM(AX55:AX60)</f>
        <v>149535386.32999998</v>
      </c>
    </row>
    <row r="62" spans="1:51" x14ac:dyDescent="0.25">
      <c r="A62" s="2" t="s">
        <v>34</v>
      </c>
      <c r="B62" s="3"/>
      <c r="C62" s="3"/>
      <c r="E62" s="2" t="s">
        <v>34</v>
      </c>
      <c r="F62" s="3"/>
      <c r="G62" s="3"/>
      <c r="I62" s="2" t="s">
        <v>34</v>
      </c>
      <c r="J62" s="3"/>
      <c r="K62" s="3"/>
      <c r="M62" s="2" t="s">
        <v>34</v>
      </c>
      <c r="N62" s="3"/>
      <c r="O62" s="3"/>
      <c r="Q62" s="2" t="s">
        <v>34</v>
      </c>
      <c r="R62" s="3"/>
      <c r="S62" s="3"/>
      <c r="T62" s="1"/>
      <c r="U62" s="2" t="s">
        <v>34</v>
      </c>
      <c r="V62" s="3"/>
      <c r="W62" s="3"/>
      <c r="Y62" s="2" t="s">
        <v>34</v>
      </c>
      <c r="Z62" s="3"/>
      <c r="AA62" s="3"/>
      <c r="AC62" s="2" t="s">
        <v>34</v>
      </c>
      <c r="AD62" s="3"/>
      <c r="AE62" s="3"/>
      <c r="AH62" s="2" t="s">
        <v>34</v>
      </c>
      <c r="AI62" s="3"/>
      <c r="AJ62" s="3"/>
      <c r="AM62" s="2" t="s">
        <v>34</v>
      </c>
      <c r="AN62" s="3"/>
      <c r="AO62" s="3"/>
      <c r="AR62" s="2" t="s">
        <v>34</v>
      </c>
      <c r="AS62" s="3"/>
      <c r="AT62" s="3"/>
      <c r="AW62" s="2" t="s">
        <v>34</v>
      </c>
      <c r="AX62" s="3"/>
      <c r="AY62" s="3"/>
    </row>
    <row r="63" spans="1:51" x14ac:dyDescent="0.25">
      <c r="A63" t="s">
        <v>35</v>
      </c>
      <c r="B63" s="1">
        <v>500000</v>
      </c>
      <c r="C63" s="1"/>
      <c r="E63" t="s">
        <v>35</v>
      </c>
      <c r="F63" s="1">
        <v>500000</v>
      </c>
      <c r="G63" s="1"/>
      <c r="I63" t="s">
        <v>35</v>
      </c>
      <c r="J63" s="1">
        <v>500000</v>
      </c>
      <c r="K63" s="1"/>
      <c r="M63" t="s">
        <v>35</v>
      </c>
      <c r="N63" s="1">
        <v>500000</v>
      </c>
      <c r="O63" s="1"/>
      <c r="Q63" t="s">
        <v>35</v>
      </c>
      <c r="R63" s="1">
        <v>500000</v>
      </c>
      <c r="S63" s="1"/>
      <c r="T63" s="1"/>
      <c r="U63" t="s">
        <v>35</v>
      </c>
      <c r="V63" s="1">
        <v>500000</v>
      </c>
      <c r="W63" s="1"/>
      <c r="Y63" t="s">
        <v>35</v>
      </c>
      <c r="Z63" s="1">
        <v>500000</v>
      </c>
      <c r="AA63" s="1"/>
      <c r="AC63" t="s">
        <v>35</v>
      </c>
      <c r="AD63" s="1">
        <v>500000</v>
      </c>
      <c r="AE63" s="1"/>
      <c r="AH63" t="s">
        <v>35</v>
      </c>
      <c r="AI63" s="1">
        <v>500000</v>
      </c>
      <c r="AJ63" s="1"/>
      <c r="AM63" t="s">
        <v>35</v>
      </c>
      <c r="AN63" s="1">
        <v>500000</v>
      </c>
      <c r="AO63" s="1"/>
      <c r="AR63" t="s">
        <v>35</v>
      </c>
      <c r="AS63" s="1">
        <v>500000</v>
      </c>
      <c r="AT63" s="1"/>
      <c r="AW63" t="s">
        <v>35</v>
      </c>
      <c r="AX63" s="1">
        <v>500000</v>
      </c>
      <c r="AY63" s="1"/>
    </row>
    <row r="64" spans="1:51" x14ac:dyDescent="0.25">
      <c r="A64" t="s">
        <v>36</v>
      </c>
      <c r="B64" s="1">
        <v>101300</v>
      </c>
      <c r="C64" s="1"/>
      <c r="E64" t="s">
        <v>36</v>
      </c>
      <c r="F64" s="1">
        <v>101300</v>
      </c>
      <c r="G64" s="1"/>
      <c r="I64" t="s">
        <v>36</v>
      </c>
      <c r="J64" s="1">
        <v>101300</v>
      </c>
      <c r="K64" s="1"/>
      <c r="M64" t="s">
        <v>36</v>
      </c>
      <c r="N64" s="1">
        <v>101300</v>
      </c>
      <c r="O64" s="1"/>
      <c r="Q64" t="s">
        <v>36</v>
      </c>
      <c r="R64" s="1">
        <v>101300</v>
      </c>
      <c r="S64" s="1"/>
      <c r="T64" s="1"/>
      <c r="U64" t="s">
        <v>36</v>
      </c>
      <c r="V64" s="1">
        <v>101300</v>
      </c>
      <c r="W64" s="1"/>
      <c r="Y64" t="s">
        <v>36</v>
      </c>
      <c r="Z64" s="1">
        <v>101300</v>
      </c>
      <c r="AA64" s="1"/>
      <c r="AC64" t="s">
        <v>36</v>
      </c>
      <c r="AD64" s="1">
        <v>101300</v>
      </c>
      <c r="AE64" s="1"/>
      <c r="AH64" t="s">
        <v>36</v>
      </c>
      <c r="AI64" s="1">
        <v>101300</v>
      </c>
      <c r="AJ64" s="1"/>
      <c r="AM64" t="s">
        <v>36</v>
      </c>
      <c r="AN64" s="1">
        <v>101300</v>
      </c>
      <c r="AO64" s="1"/>
      <c r="AR64" t="s">
        <v>36</v>
      </c>
      <c r="AS64" s="1">
        <v>101300</v>
      </c>
      <c r="AT64" s="1"/>
      <c r="AW64" t="s">
        <v>36</v>
      </c>
      <c r="AX64" s="1">
        <v>101300</v>
      </c>
      <c r="AY64" s="1"/>
    </row>
    <row r="65" spans="1:51" x14ac:dyDescent="0.25">
      <c r="A65" t="s">
        <v>37</v>
      </c>
      <c r="B65" s="1">
        <v>50000</v>
      </c>
      <c r="C65" s="1"/>
      <c r="E65" t="s">
        <v>37</v>
      </c>
      <c r="F65" s="1">
        <v>50000</v>
      </c>
      <c r="G65" s="1"/>
      <c r="I65" t="s">
        <v>37</v>
      </c>
      <c r="J65" s="1">
        <v>50000</v>
      </c>
      <c r="K65" s="1"/>
      <c r="M65" t="s">
        <v>37</v>
      </c>
      <c r="N65" s="1">
        <v>50000</v>
      </c>
      <c r="O65" s="1"/>
      <c r="Q65" t="s">
        <v>37</v>
      </c>
      <c r="R65" s="1">
        <v>50000</v>
      </c>
      <c r="S65" s="1"/>
      <c r="T65" s="1"/>
      <c r="U65" t="s">
        <v>37</v>
      </c>
      <c r="V65" s="1">
        <v>50000</v>
      </c>
      <c r="W65" s="1"/>
      <c r="Y65" t="s">
        <v>37</v>
      </c>
      <c r="Z65" s="1">
        <v>50000</v>
      </c>
      <c r="AA65" s="1"/>
      <c r="AC65" t="s">
        <v>37</v>
      </c>
      <c r="AD65" s="1">
        <v>50000</v>
      </c>
      <c r="AE65" s="1"/>
      <c r="AH65" t="s">
        <v>37</v>
      </c>
      <c r="AI65" s="1">
        <v>50000</v>
      </c>
      <c r="AJ65" s="1"/>
      <c r="AM65" t="s">
        <v>37</v>
      </c>
      <c r="AN65" s="1">
        <v>50000</v>
      </c>
      <c r="AO65" s="1"/>
      <c r="AR65" t="s">
        <v>37</v>
      </c>
      <c r="AS65" s="1">
        <v>50000</v>
      </c>
      <c r="AT65" s="1"/>
      <c r="AW65" t="s">
        <v>37</v>
      </c>
      <c r="AX65" s="1">
        <v>50000</v>
      </c>
      <c r="AY65" s="1"/>
    </row>
    <row r="66" spans="1:51" x14ac:dyDescent="0.25">
      <c r="A66" s="2"/>
      <c r="B66" s="3"/>
      <c r="C66" s="3">
        <f>SUM(B63:B65)</f>
        <v>651300</v>
      </c>
      <c r="E66" s="2"/>
      <c r="F66" s="3"/>
      <c r="G66" s="3">
        <f>SUM(F63:F65)</f>
        <v>651300</v>
      </c>
      <c r="I66" s="2"/>
      <c r="J66" s="3"/>
      <c r="K66" s="3">
        <f>SUM(J63:J65)</f>
        <v>651300</v>
      </c>
      <c r="M66" s="2"/>
      <c r="N66" s="3"/>
      <c r="O66" s="3">
        <f>SUM(N63:N65)</f>
        <v>651300</v>
      </c>
      <c r="Q66" s="2"/>
      <c r="R66" s="3"/>
      <c r="S66" s="3">
        <f>SUM(R63:R65)</f>
        <v>651300</v>
      </c>
      <c r="T66" s="1"/>
      <c r="U66" s="2"/>
      <c r="V66" s="3"/>
      <c r="W66" s="3">
        <f>SUM(V63:V65)</f>
        <v>651300</v>
      </c>
      <c r="Y66" s="2"/>
      <c r="Z66" s="3"/>
      <c r="AA66" s="3">
        <f>SUM(Z63:Z65)</f>
        <v>651300</v>
      </c>
      <c r="AC66" s="2"/>
      <c r="AD66" s="3"/>
      <c r="AE66" s="3">
        <f>SUM(AD63:AD65)</f>
        <v>651300</v>
      </c>
      <c r="AH66" s="2"/>
      <c r="AI66" s="3"/>
      <c r="AJ66" s="3">
        <f>SUM(AI63:AI65)</f>
        <v>651300</v>
      </c>
      <c r="AM66" s="2"/>
      <c r="AN66" s="3"/>
      <c r="AO66" s="3">
        <f>SUM(AN63:AN65)</f>
        <v>651300</v>
      </c>
      <c r="AR66" s="2"/>
      <c r="AS66" s="3"/>
      <c r="AT66" s="3">
        <f>SUM(AS63:AS65)</f>
        <v>651300</v>
      </c>
      <c r="AW66" s="2"/>
      <c r="AX66" s="3"/>
      <c r="AY66" s="3">
        <f>SUM(AX63:AX65)</f>
        <v>651300</v>
      </c>
    </row>
    <row r="67" spans="1:51" x14ac:dyDescent="0.25">
      <c r="A67" s="2" t="s">
        <v>39</v>
      </c>
      <c r="B67" s="3"/>
      <c r="C67" s="3"/>
      <c r="E67" s="2" t="s">
        <v>39</v>
      </c>
      <c r="F67" s="3"/>
      <c r="G67" s="3"/>
      <c r="I67" s="2" t="s">
        <v>39</v>
      </c>
      <c r="J67" s="3"/>
      <c r="K67" s="3"/>
      <c r="M67" s="2" t="s">
        <v>39</v>
      </c>
      <c r="N67" s="3"/>
      <c r="O67" s="3"/>
      <c r="Q67" s="2" t="s">
        <v>39</v>
      </c>
      <c r="R67" s="3"/>
      <c r="S67" s="3"/>
      <c r="T67" s="1"/>
      <c r="U67" s="2" t="s">
        <v>39</v>
      </c>
      <c r="V67" s="3"/>
      <c r="W67" s="3"/>
      <c r="Y67" s="2" t="s">
        <v>39</v>
      </c>
      <c r="Z67" s="3"/>
      <c r="AA67" s="3"/>
      <c r="AC67" s="2" t="s">
        <v>39</v>
      </c>
      <c r="AD67" s="3"/>
      <c r="AE67" s="3"/>
      <c r="AH67" s="2" t="s">
        <v>39</v>
      </c>
      <c r="AI67" s="3"/>
      <c r="AJ67" s="3"/>
      <c r="AM67" s="2" t="s">
        <v>39</v>
      </c>
      <c r="AN67" s="3"/>
      <c r="AO67" s="3"/>
      <c r="AR67" s="2" t="s">
        <v>39</v>
      </c>
      <c r="AS67" s="3"/>
      <c r="AT67" s="3"/>
      <c r="AW67" s="2" t="s">
        <v>39</v>
      </c>
      <c r="AX67" s="3"/>
      <c r="AY67" s="3"/>
    </row>
    <row r="68" spans="1:51" x14ac:dyDescent="0.25">
      <c r="A68" t="s">
        <v>40</v>
      </c>
      <c r="B68" s="1">
        <v>800000</v>
      </c>
      <c r="C68" s="1"/>
      <c r="E68" t="s">
        <v>40</v>
      </c>
      <c r="F68" s="1">
        <v>760000</v>
      </c>
      <c r="G68" s="1"/>
      <c r="I68" t="s">
        <v>40</v>
      </c>
      <c r="J68" s="1">
        <v>710000</v>
      </c>
      <c r="K68" s="1"/>
      <c r="M68" t="s">
        <v>40</v>
      </c>
      <c r="N68" s="1">
        <v>670000</v>
      </c>
      <c r="O68" s="1"/>
      <c r="Q68" t="s">
        <v>40</v>
      </c>
      <c r="R68" s="1">
        <v>630000</v>
      </c>
      <c r="S68" s="1"/>
      <c r="T68" s="1"/>
      <c r="U68" t="s">
        <v>40</v>
      </c>
      <c r="V68" s="1">
        <v>590000</v>
      </c>
      <c r="W68" s="1"/>
      <c r="Y68" t="s">
        <v>40</v>
      </c>
      <c r="Z68" s="1">
        <v>800000</v>
      </c>
      <c r="AA68" s="1"/>
      <c r="AC68" t="s">
        <v>40</v>
      </c>
      <c r="AD68" s="1">
        <v>760000</v>
      </c>
      <c r="AE68" s="1"/>
      <c r="AH68" t="s">
        <v>40</v>
      </c>
      <c r="AI68" s="1">
        <v>720000</v>
      </c>
      <c r="AJ68" s="1"/>
      <c r="AM68" t="s">
        <v>40</v>
      </c>
      <c r="AN68" s="1">
        <v>680000</v>
      </c>
      <c r="AO68" s="1"/>
      <c r="AR68" t="s">
        <v>40</v>
      </c>
      <c r="AS68" s="1">
        <v>640000</v>
      </c>
      <c r="AT68" s="1"/>
      <c r="AW68" t="s">
        <v>40</v>
      </c>
      <c r="AX68" s="1">
        <v>600000</v>
      </c>
      <c r="AY68" s="1"/>
    </row>
    <row r="69" spans="1:51" x14ac:dyDescent="0.25">
      <c r="A69" t="s">
        <v>94</v>
      </c>
      <c r="B69" s="1">
        <v>50000</v>
      </c>
      <c r="C69" s="1"/>
      <c r="E69" t="s">
        <v>94</v>
      </c>
      <c r="F69" s="1">
        <v>40000</v>
      </c>
      <c r="G69" s="1"/>
      <c r="I69" t="s">
        <v>94</v>
      </c>
      <c r="J69" s="1">
        <v>30000</v>
      </c>
      <c r="K69" s="1"/>
      <c r="M69" t="s">
        <v>94</v>
      </c>
      <c r="N69" s="1">
        <v>20000</v>
      </c>
      <c r="O69" s="1"/>
      <c r="Q69" t="s">
        <v>94</v>
      </c>
      <c r="R69" s="1">
        <v>30000</v>
      </c>
      <c r="S69" s="1"/>
      <c r="T69" s="1"/>
      <c r="U69" t="s">
        <v>94</v>
      </c>
      <c r="V69" s="1">
        <v>20000</v>
      </c>
      <c r="W69" s="1"/>
      <c r="Y69" t="s">
        <v>94</v>
      </c>
      <c r="Z69" s="1">
        <v>10000</v>
      </c>
      <c r="AA69" s="1"/>
      <c r="AC69" t="s">
        <v>242</v>
      </c>
      <c r="AD69" s="1">
        <v>300000</v>
      </c>
      <c r="AE69" s="1"/>
      <c r="AH69" t="s">
        <v>242</v>
      </c>
      <c r="AI69" s="1">
        <v>300000</v>
      </c>
      <c r="AJ69" s="1"/>
      <c r="AM69" t="s">
        <v>242</v>
      </c>
      <c r="AN69" s="1">
        <v>300000</v>
      </c>
      <c r="AO69" s="1"/>
      <c r="AR69" t="s">
        <v>242</v>
      </c>
      <c r="AS69" s="1">
        <v>300000</v>
      </c>
      <c r="AT69" s="1"/>
      <c r="AW69" t="s">
        <v>242</v>
      </c>
      <c r="AX69" s="1">
        <v>300000</v>
      </c>
      <c r="AY69" s="1"/>
    </row>
    <row r="70" spans="1:51" x14ac:dyDescent="0.25">
      <c r="A70" t="s">
        <v>42</v>
      </c>
      <c r="B70" s="1">
        <v>0</v>
      </c>
      <c r="C70" s="1"/>
      <c r="E70" t="s">
        <v>43</v>
      </c>
      <c r="F70" s="1">
        <v>90000</v>
      </c>
      <c r="G70" s="1"/>
      <c r="I70" t="s">
        <v>43</v>
      </c>
      <c r="J70" s="1">
        <v>90000</v>
      </c>
      <c r="K70" s="1"/>
      <c r="M70" t="s">
        <v>43</v>
      </c>
      <c r="N70" s="1">
        <v>80000</v>
      </c>
      <c r="O70" s="1"/>
      <c r="Q70" t="s">
        <v>43</v>
      </c>
      <c r="R70" s="1">
        <v>80000</v>
      </c>
      <c r="S70" s="1"/>
      <c r="T70" s="1"/>
      <c r="U70" t="s">
        <v>43</v>
      </c>
      <c r="V70" s="1">
        <v>80000</v>
      </c>
      <c r="W70" s="1"/>
      <c r="Y70" t="s">
        <v>43</v>
      </c>
      <c r="Z70" s="1">
        <v>80000</v>
      </c>
      <c r="AA70" s="1"/>
      <c r="AC70" t="s">
        <v>43</v>
      </c>
      <c r="AD70" s="1">
        <v>80000</v>
      </c>
      <c r="AE70" s="1"/>
      <c r="AH70" t="s">
        <v>43</v>
      </c>
      <c r="AI70" s="1">
        <v>80000</v>
      </c>
      <c r="AJ70" s="1"/>
      <c r="AM70" t="s">
        <v>43</v>
      </c>
      <c r="AN70" s="1">
        <v>50000</v>
      </c>
      <c r="AO70" s="1" t="s">
        <v>273</v>
      </c>
      <c r="AR70" t="s">
        <v>159</v>
      </c>
      <c r="AS70" s="1">
        <v>150000</v>
      </c>
      <c r="AT70" s="1"/>
      <c r="AW70" t="s">
        <v>159</v>
      </c>
      <c r="AX70" s="1">
        <v>150000</v>
      </c>
      <c r="AY70" s="1"/>
    </row>
    <row r="71" spans="1:51" x14ac:dyDescent="0.25">
      <c r="A71" t="s">
        <v>43</v>
      </c>
      <c r="B71" s="1">
        <v>90000</v>
      </c>
      <c r="C71" s="1"/>
      <c r="E71" t="s">
        <v>154</v>
      </c>
      <c r="F71" s="1">
        <v>20000</v>
      </c>
      <c r="G71" s="1"/>
      <c r="I71" t="s">
        <v>154</v>
      </c>
      <c r="J71" s="1">
        <v>15000</v>
      </c>
      <c r="K71" s="1"/>
      <c r="M71" t="s">
        <v>154</v>
      </c>
      <c r="N71" s="1">
        <v>10000</v>
      </c>
      <c r="O71" s="1"/>
      <c r="Q71" t="s">
        <v>154</v>
      </c>
      <c r="R71" s="1">
        <v>5000</v>
      </c>
      <c r="S71" s="1"/>
      <c r="T71" s="1"/>
      <c r="U71" t="s">
        <v>197</v>
      </c>
      <c r="V71" s="1">
        <v>50000</v>
      </c>
      <c r="W71" s="1"/>
      <c r="Y71" t="s">
        <v>197</v>
      </c>
      <c r="Z71" s="1">
        <v>50000</v>
      </c>
      <c r="AA71" s="1"/>
      <c r="AC71" t="s">
        <v>197</v>
      </c>
      <c r="AD71" s="1">
        <v>30000</v>
      </c>
      <c r="AE71" s="1"/>
      <c r="AH71" t="s">
        <v>197</v>
      </c>
      <c r="AI71" s="1">
        <v>20000</v>
      </c>
      <c r="AJ71" s="1"/>
      <c r="AM71" t="s">
        <v>197</v>
      </c>
      <c r="AN71" s="1">
        <v>10000</v>
      </c>
      <c r="AO71" s="1"/>
      <c r="AR71" t="s">
        <v>94</v>
      </c>
      <c r="AS71" s="1">
        <v>100000</v>
      </c>
      <c r="AT71" s="1"/>
      <c r="AW71" t="s">
        <v>94</v>
      </c>
      <c r="AX71" s="1">
        <v>20000</v>
      </c>
      <c r="AY71" s="1"/>
    </row>
    <row r="72" spans="1:51" x14ac:dyDescent="0.25">
      <c r="A72" t="s">
        <v>154</v>
      </c>
      <c r="B72" s="1">
        <v>25000</v>
      </c>
      <c r="C72" s="1"/>
      <c r="E72" t="s">
        <v>83</v>
      </c>
      <c r="F72" s="1">
        <v>15000</v>
      </c>
      <c r="G72" s="1"/>
      <c r="I72" t="s">
        <v>83</v>
      </c>
      <c r="J72" s="1">
        <v>5000</v>
      </c>
      <c r="K72" s="1"/>
      <c r="M72" t="s">
        <v>83</v>
      </c>
      <c r="N72" s="1">
        <v>0</v>
      </c>
      <c r="O72" s="1"/>
      <c r="Q72" t="s">
        <v>193</v>
      </c>
      <c r="R72" s="1">
        <v>20000</v>
      </c>
      <c r="S72" s="1"/>
      <c r="T72" s="1"/>
      <c r="U72" t="s">
        <v>193</v>
      </c>
      <c r="V72" s="1">
        <v>15000</v>
      </c>
      <c r="W72" s="1"/>
      <c r="Y72" t="s">
        <v>193</v>
      </c>
      <c r="Z72" s="1">
        <v>10000</v>
      </c>
      <c r="AA72" s="1"/>
      <c r="AC72" t="s">
        <v>193</v>
      </c>
      <c r="AD72" s="1">
        <v>5000</v>
      </c>
      <c r="AE72" s="1"/>
      <c r="AH72" t="s">
        <v>193</v>
      </c>
      <c r="AI72" s="1">
        <v>0</v>
      </c>
      <c r="AJ72" s="1"/>
      <c r="AL72" t="s">
        <v>92</v>
      </c>
      <c r="AM72" t="s">
        <v>185</v>
      </c>
      <c r="AN72" s="1">
        <v>30000</v>
      </c>
      <c r="AO72" s="1"/>
      <c r="AR72" t="s">
        <v>277</v>
      </c>
      <c r="AS72" s="1">
        <v>30000</v>
      </c>
      <c r="AT72" s="1"/>
      <c r="AW72" t="s">
        <v>277</v>
      </c>
      <c r="AX72" s="1">
        <v>30000</v>
      </c>
      <c r="AY72" s="1"/>
    </row>
    <row r="73" spans="1:51" x14ac:dyDescent="0.25">
      <c r="A73" t="s">
        <v>83</v>
      </c>
      <c r="B73" s="1">
        <v>25000</v>
      </c>
      <c r="C73" s="1"/>
      <c r="E73" t="s">
        <v>76</v>
      </c>
      <c r="F73" s="1">
        <v>5000</v>
      </c>
      <c r="G73" s="1"/>
      <c r="I73" t="s">
        <v>185</v>
      </c>
      <c r="J73" s="1">
        <v>60000</v>
      </c>
      <c r="K73" s="1"/>
      <c r="M73" t="s">
        <v>185</v>
      </c>
      <c r="N73" s="1">
        <v>30000</v>
      </c>
      <c r="O73" s="1"/>
      <c r="Q73" t="s">
        <v>185</v>
      </c>
      <c r="R73" s="1">
        <v>20000</v>
      </c>
      <c r="S73" s="1"/>
      <c r="T73" s="1"/>
      <c r="U73" t="s">
        <v>185</v>
      </c>
      <c r="V73" s="1">
        <v>10000</v>
      </c>
      <c r="W73" s="1"/>
      <c r="Y73" t="s">
        <v>185</v>
      </c>
      <c r="Z73" s="1">
        <v>0</v>
      </c>
      <c r="AA73" s="1"/>
      <c r="AC73" t="s">
        <v>185</v>
      </c>
      <c r="AD73" s="1">
        <v>50000</v>
      </c>
      <c r="AE73" s="1"/>
      <c r="AH73" t="s">
        <v>185</v>
      </c>
      <c r="AI73" s="1">
        <v>40000</v>
      </c>
      <c r="AJ73" s="1"/>
      <c r="AM73" t="s">
        <v>184</v>
      </c>
      <c r="AN73" s="1">
        <v>24500</v>
      </c>
      <c r="AO73" s="1"/>
      <c r="AR73" t="s">
        <v>154</v>
      </c>
      <c r="AS73" s="1">
        <v>10000</v>
      </c>
      <c r="AT73" s="1"/>
      <c r="AW73" t="s">
        <v>154</v>
      </c>
      <c r="AX73" s="1">
        <v>10000</v>
      </c>
      <c r="AY73" s="1"/>
    </row>
    <row r="74" spans="1:51" x14ac:dyDescent="0.25">
      <c r="A74" t="s">
        <v>76</v>
      </c>
      <c r="B74" s="1">
        <v>10000</v>
      </c>
      <c r="C74" s="1"/>
      <c r="E74" t="s">
        <v>170</v>
      </c>
      <c r="F74" s="1">
        <v>100000</v>
      </c>
      <c r="G74" s="1"/>
      <c r="I74" t="s">
        <v>184</v>
      </c>
      <c r="J74" s="1">
        <v>24500</v>
      </c>
      <c r="K74" s="1"/>
      <c r="M74" t="s">
        <v>184</v>
      </c>
      <c r="N74" s="1">
        <v>24500</v>
      </c>
      <c r="O74" s="1"/>
      <c r="Q74" t="s">
        <v>184</v>
      </c>
      <c r="R74" s="1">
        <v>24500</v>
      </c>
      <c r="S74" s="1"/>
      <c r="T74" s="1"/>
      <c r="U74" t="s">
        <v>184</v>
      </c>
      <c r="V74" s="1">
        <v>24500</v>
      </c>
      <c r="W74" s="1"/>
      <c r="Y74" t="s">
        <v>184</v>
      </c>
      <c r="Z74" s="1">
        <v>24500</v>
      </c>
      <c r="AA74" s="1"/>
      <c r="AC74" t="s">
        <v>184</v>
      </c>
      <c r="AD74" s="1">
        <v>24500</v>
      </c>
      <c r="AE74" s="1"/>
      <c r="AH74" t="s">
        <v>184</v>
      </c>
      <c r="AI74" s="1">
        <v>24500</v>
      </c>
      <c r="AJ74" s="1"/>
      <c r="AM74" t="s">
        <v>170</v>
      </c>
      <c r="AN74" s="1">
        <v>20000</v>
      </c>
      <c r="AO74" s="1"/>
      <c r="AR74" t="s">
        <v>185</v>
      </c>
      <c r="AS74" s="1">
        <v>20000</v>
      </c>
      <c r="AT74" s="1"/>
      <c r="AW74" t="s">
        <v>185</v>
      </c>
      <c r="AX74" s="1">
        <v>1000</v>
      </c>
      <c r="AY74" s="1"/>
    </row>
    <row r="75" spans="1:51" x14ac:dyDescent="0.25">
      <c r="A75" t="s">
        <v>170</v>
      </c>
      <c r="B75" s="1">
        <v>100000</v>
      </c>
      <c r="C75" s="1"/>
      <c r="E75" t="s">
        <v>159</v>
      </c>
      <c r="F75" s="1">
        <v>95000</v>
      </c>
      <c r="G75" s="1"/>
      <c r="I75" t="s">
        <v>170</v>
      </c>
      <c r="J75" s="1">
        <v>90000</v>
      </c>
      <c r="K75" s="1"/>
      <c r="M75" t="s">
        <v>170</v>
      </c>
      <c r="N75" s="1">
        <v>80000</v>
      </c>
      <c r="O75" s="1"/>
      <c r="Q75" t="s">
        <v>170</v>
      </c>
      <c r="R75" s="1">
        <v>70000</v>
      </c>
      <c r="S75" s="1"/>
      <c r="T75" s="1"/>
      <c r="U75" t="s">
        <v>170</v>
      </c>
      <c r="V75" s="1">
        <v>60000</v>
      </c>
      <c r="W75" s="1"/>
      <c r="Y75" t="s">
        <v>170</v>
      </c>
      <c r="Z75" s="1">
        <v>50000</v>
      </c>
      <c r="AA75" s="1"/>
      <c r="AC75" t="s">
        <v>170</v>
      </c>
      <c r="AD75" s="1">
        <v>40000</v>
      </c>
      <c r="AE75" s="1"/>
      <c r="AH75" t="s">
        <v>170</v>
      </c>
      <c r="AI75" s="1">
        <v>30000</v>
      </c>
      <c r="AJ75" s="1"/>
      <c r="AM75" t="s">
        <v>256</v>
      </c>
      <c r="AN75" s="1">
        <v>90000</v>
      </c>
      <c r="AO75" s="1"/>
      <c r="AR75" t="s">
        <v>184</v>
      </c>
      <c r="AS75" s="1">
        <v>24500</v>
      </c>
      <c r="AT75" s="1"/>
      <c r="AW75" t="s">
        <v>184</v>
      </c>
      <c r="AX75" s="1">
        <v>24500</v>
      </c>
      <c r="AY75" s="1"/>
    </row>
    <row r="76" spans="1:51" x14ac:dyDescent="0.25">
      <c r="A76" t="s">
        <v>159</v>
      </c>
      <c r="B76" s="1">
        <v>110000</v>
      </c>
      <c r="C76" s="1"/>
      <c r="E76" t="s">
        <v>103</v>
      </c>
      <c r="F76" s="1">
        <v>5000</v>
      </c>
      <c r="G76" s="1"/>
      <c r="I76" t="s">
        <v>159</v>
      </c>
      <c r="J76" s="1">
        <v>80000</v>
      </c>
      <c r="K76" s="1"/>
      <c r="M76" t="s">
        <v>159</v>
      </c>
      <c r="N76" s="1">
        <v>65000</v>
      </c>
      <c r="O76" s="1"/>
      <c r="Q76" t="s">
        <v>159</v>
      </c>
      <c r="R76" s="1">
        <v>50000</v>
      </c>
      <c r="S76" s="1"/>
      <c r="T76" s="1"/>
      <c r="U76" t="s">
        <v>159</v>
      </c>
      <c r="V76" s="1">
        <v>35000</v>
      </c>
      <c r="W76" s="1"/>
      <c r="Y76" t="s">
        <v>159</v>
      </c>
      <c r="Z76" s="1">
        <v>20000</v>
      </c>
      <c r="AA76" s="1"/>
      <c r="AC76" t="s">
        <v>159</v>
      </c>
      <c r="AD76" s="1">
        <v>5000</v>
      </c>
      <c r="AE76" s="1"/>
      <c r="AH76" t="s">
        <v>256</v>
      </c>
      <c r="AI76" s="1">
        <v>100000</v>
      </c>
      <c r="AJ76" s="1"/>
      <c r="AM76" t="s">
        <v>241</v>
      </c>
      <c r="AN76" s="1">
        <v>100000</v>
      </c>
      <c r="AO76" s="1"/>
      <c r="AR76" t="s">
        <v>170</v>
      </c>
      <c r="AS76" s="1">
        <v>10000</v>
      </c>
      <c r="AT76" s="1"/>
      <c r="AW76" t="s">
        <v>256</v>
      </c>
      <c r="AX76" s="1">
        <v>70000</v>
      </c>
      <c r="AY76" s="1"/>
    </row>
    <row r="77" spans="1:51" x14ac:dyDescent="0.25">
      <c r="A77" t="s">
        <v>103</v>
      </c>
      <c r="B77" s="1">
        <v>12500</v>
      </c>
      <c r="C77" s="1"/>
      <c r="E77" s="2"/>
      <c r="F77" s="3"/>
      <c r="G77" s="3">
        <f>SUM(F68:F76)</f>
        <v>1130000</v>
      </c>
      <c r="I77" t="s">
        <v>183</v>
      </c>
      <c r="J77" s="1">
        <v>100000</v>
      </c>
      <c r="K77" s="1"/>
      <c r="L77" s="1"/>
      <c r="M77" t="s">
        <v>183</v>
      </c>
      <c r="N77" s="1">
        <v>100000</v>
      </c>
      <c r="O77" s="1"/>
      <c r="Q77" t="s">
        <v>183</v>
      </c>
      <c r="R77" s="1">
        <v>100000</v>
      </c>
      <c r="S77" s="1"/>
      <c r="T77" s="1"/>
      <c r="U77" t="s">
        <v>220</v>
      </c>
      <c r="V77" s="1">
        <v>30000</v>
      </c>
      <c r="W77" s="1"/>
      <c r="Y77" t="s">
        <v>220</v>
      </c>
      <c r="Z77" s="1">
        <v>0</v>
      </c>
      <c r="AA77" s="1"/>
      <c r="AC77" t="s">
        <v>241</v>
      </c>
      <c r="AD77" s="1">
        <v>100000</v>
      </c>
      <c r="AE77" s="1"/>
      <c r="AH77" t="s">
        <v>241</v>
      </c>
      <c r="AI77" s="1">
        <v>100000</v>
      </c>
      <c r="AJ77" s="1"/>
      <c r="AM77" t="s">
        <v>183</v>
      </c>
      <c r="AN77" s="1">
        <v>100000</v>
      </c>
      <c r="AO77" s="1"/>
      <c r="AR77" t="s">
        <v>256</v>
      </c>
      <c r="AS77" s="1">
        <v>80000</v>
      </c>
      <c r="AT77" s="1"/>
      <c r="AW77" t="s">
        <v>241</v>
      </c>
      <c r="AX77" s="1">
        <v>100000</v>
      </c>
      <c r="AY77" s="1"/>
    </row>
    <row r="78" spans="1:51" x14ac:dyDescent="0.25">
      <c r="A78" s="2"/>
      <c r="B78" s="3"/>
      <c r="C78" s="3">
        <f>SUM(B68:B77)</f>
        <v>1222500</v>
      </c>
      <c r="E78" s="2" t="s">
        <v>47</v>
      </c>
      <c r="F78" s="3"/>
      <c r="G78" s="3"/>
      <c r="I78" s="2"/>
      <c r="J78" s="3"/>
      <c r="K78" s="3">
        <f>SUM(J68:J77)</f>
        <v>1204500</v>
      </c>
      <c r="M78" s="2"/>
      <c r="N78" s="3"/>
      <c r="O78" s="3">
        <f>SUM(N68:N77)</f>
        <v>1079500</v>
      </c>
      <c r="Q78" s="2"/>
      <c r="R78" s="3"/>
      <c r="S78" s="3">
        <f>SUM(R68:R77)</f>
        <v>1029500</v>
      </c>
      <c r="T78" s="1"/>
      <c r="U78" t="s">
        <v>183</v>
      </c>
      <c r="V78" s="1">
        <v>100000</v>
      </c>
      <c r="W78" s="1"/>
      <c r="Y78" t="s">
        <v>183</v>
      </c>
      <c r="Z78" s="1">
        <v>100000</v>
      </c>
      <c r="AA78" s="1"/>
      <c r="AC78" t="s">
        <v>183</v>
      </c>
      <c r="AD78" s="1">
        <v>100000</v>
      </c>
      <c r="AE78" s="1"/>
      <c r="AH78" t="s">
        <v>183</v>
      </c>
      <c r="AI78" s="1">
        <v>100000</v>
      </c>
      <c r="AJ78" s="1"/>
      <c r="AM78" s="2"/>
      <c r="AN78" s="3"/>
      <c r="AO78" s="3">
        <f>SUM(AN68:AN77)</f>
        <v>1404500</v>
      </c>
      <c r="AR78" t="s">
        <v>241</v>
      </c>
      <c r="AS78" s="1">
        <v>100000</v>
      </c>
      <c r="AT78" s="1"/>
      <c r="AW78" t="s">
        <v>183</v>
      </c>
      <c r="AX78" s="1">
        <v>100000</v>
      </c>
      <c r="AY78" s="1"/>
    </row>
    <row r="79" spans="1:51" x14ac:dyDescent="0.25">
      <c r="A79" s="2" t="s">
        <v>47</v>
      </c>
      <c r="B79" s="3"/>
      <c r="C79" s="3"/>
      <c r="E79" t="s">
        <v>48</v>
      </c>
      <c r="F79" s="1">
        <v>6408765</v>
      </c>
      <c r="G79" s="1"/>
      <c r="I79" s="2" t="s">
        <v>47</v>
      </c>
      <c r="J79" s="3"/>
      <c r="K79" s="3"/>
      <c r="M79" s="2" t="s">
        <v>47</v>
      </c>
      <c r="N79" s="3"/>
      <c r="O79" s="3"/>
      <c r="Q79" s="2" t="s">
        <v>47</v>
      </c>
      <c r="R79" s="3"/>
      <c r="S79" s="3"/>
      <c r="T79" s="1"/>
      <c r="U79" s="2"/>
      <c r="V79" s="3"/>
      <c r="W79" s="3">
        <f>SUM(V68:V78)</f>
        <v>1014500</v>
      </c>
      <c r="Y79" s="2"/>
      <c r="Z79" s="3"/>
      <c r="AA79" s="3">
        <f>SUM(Z68:Z78)</f>
        <v>1144500</v>
      </c>
      <c r="AC79" s="2"/>
      <c r="AD79" s="3"/>
      <c r="AE79" s="3">
        <f>SUM(AD68:AD78)</f>
        <v>1494500</v>
      </c>
      <c r="AH79" s="2"/>
      <c r="AI79" s="3"/>
      <c r="AJ79" s="3">
        <f>SUM(AI68:AI78)</f>
        <v>1514500</v>
      </c>
      <c r="AM79" s="2" t="s">
        <v>47</v>
      </c>
      <c r="AN79" s="3"/>
      <c r="AO79" s="3"/>
      <c r="AR79" t="s">
        <v>183</v>
      </c>
      <c r="AS79" s="1">
        <v>100000</v>
      </c>
      <c r="AT79" s="1"/>
      <c r="AW79" s="2"/>
      <c r="AX79" s="3"/>
      <c r="AY79" s="3">
        <f>SUM(AX68:AX78)</f>
        <v>1405500</v>
      </c>
    </row>
    <row r="80" spans="1:51" x14ac:dyDescent="0.25">
      <c r="A80" t="s">
        <v>166</v>
      </c>
      <c r="B80" s="1">
        <v>25000000</v>
      </c>
      <c r="C80" s="3"/>
      <c r="E80" t="s">
        <v>49</v>
      </c>
      <c r="F80" s="1">
        <v>149500</v>
      </c>
      <c r="G80" s="1"/>
      <c r="I80" t="s">
        <v>48</v>
      </c>
      <c r="J80" s="1">
        <v>6408765</v>
      </c>
      <c r="K80" s="1"/>
      <c r="M80" t="s">
        <v>48</v>
      </c>
      <c r="N80" s="1">
        <v>6408765</v>
      </c>
      <c r="O80" s="1"/>
      <c r="Q80" t="s">
        <v>48</v>
      </c>
      <c r="R80" s="1">
        <v>6408765</v>
      </c>
      <c r="S80" s="1"/>
      <c r="T80" s="1"/>
      <c r="U80" s="2" t="s">
        <v>47</v>
      </c>
      <c r="V80" s="3"/>
      <c r="W80" s="3"/>
      <c r="Y80" s="2" t="s">
        <v>47</v>
      </c>
      <c r="Z80" s="3"/>
      <c r="AA80" s="3"/>
      <c r="AC80" s="2" t="s">
        <v>47</v>
      </c>
      <c r="AD80" s="3"/>
      <c r="AE80" s="3"/>
      <c r="AH80" s="2" t="s">
        <v>47</v>
      </c>
      <c r="AI80" s="3"/>
      <c r="AJ80" s="3"/>
      <c r="AM80" t="s">
        <v>48</v>
      </c>
      <c r="AN80" s="1">
        <v>6408765</v>
      </c>
      <c r="AO80" s="1"/>
      <c r="AR80" s="2"/>
      <c r="AS80" s="3"/>
      <c r="AT80" s="3">
        <f>SUM(AS68:AS79)</f>
        <v>1564500</v>
      </c>
      <c r="AW80" s="2" t="s">
        <v>47</v>
      </c>
      <c r="AX80" s="3"/>
      <c r="AY80" s="3"/>
    </row>
    <row r="81" spans="1:51" x14ac:dyDescent="0.25">
      <c r="A81" t="s">
        <v>167</v>
      </c>
      <c r="B81" s="1">
        <v>1456000</v>
      </c>
      <c r="C81" s="3"/>
      <c r="E81" t="s">
        <v>50</v>
      </c>
      <c r="F81" s="1">
        <v>8930616</v>
      </c>
      <c r="G81" s="1"/>
      <c r="I81" t="s">
        <v>49</v>
      </c>
      <c r="J81" s="1">
        <v>149500</v>
      </c>
      <c r="K81" s="1"/>
      <c r="M81" t="s">
        <v>49</v>
      </c>
      <c r="N81" s="1">
        <v>149500</v>
      </c>
      <c r="O81" s="1"/>
      <c r="Q81" t="s">
        <v>49</v>
      </c>
      <c r="R81" s="1">
        <v>149500</v>
      </c>
      <c r="S81" s="1"/>
      <c r="T81" s="1"/>
      <c r="U81" t="s">
        <v>48</v>
      </c>
      <c r="V81" s="1">
        <v>6408765</v>
      </c>
      <c r="W81" s="1"/>
      <c r="Y81" t="s">
        <v>48</v>
      </c>
      <c r="Z81" s="1">
        <v>6408765</v>
      </c>
      <c r="AA81" s="1"/>
      <c r="AC81" t="s">
        <v>48</v>
      </c>
      <c r="AD81" s="1">
        <v>6408765</v>
      </c>
      <c r="AE81" s="1"/>
      <c r="AH81" t="s">
        <v>48</v>
      </c>
      <c r="AI81" s="1">
        <v>6408765</v>
      </c>
      <c r="AJ81" s="1"/>
      <c r="AM81" t="s">
        <v>49</v>
      </c>
      <c r="AN81" s="1">
        <v>149500</v>
      </c>
      <c r="AO81" s="1"/>
      <c r="AR81" s="2" t="s">
        <v>47</v>
      </c>
      <c r="AS81" s="3"/>
      <c r="AT81" s="3"/>
      <c r="AW81" t="s">
        <v>48</v>
      </c>
      <c r="AX81" s="1">
        <v>6408765</v>
      </c>
      <c r="AY81" s="1"/>
    </row>
    <row r="82" spans="1:51" x14ac:dyDescent="0.25">
      <c r="A82" t="s">
        <v>48</v>
      </c>
      <c r="B82" s="1">
        <v>6408765</v>
      </c>
      <c r="C82" s="1"/>
      <c r="E82" t="s">
        <v>77</v>
      </c>
      <c r="F82" s="1">
        <v>2750000</v>
      </c>
      <c r="G82" s="1"/>
      <c r="I82" t="s">
        <v>50</v>
      </c>
      <c r="J82" s="1">
        <v>8930616</v>
      </c>
      <c r="K82" s="1"/>
      <c r="M82" t="s">
        <v>50</v>
      </c>
      <c r="N82" s="1">
        <v>8930616</v>
      </c>
      <c r="O82" s="1"/>
      <c r="Q82" t="s">
        <v>50</v>
      </c>
      <c r="R82" s="1">
        <v>8930616</v>
      </c>
      <c r="S82" s="1"/>
      <c r="T82" s="1"/>
      <c r="U82" t="s">
        <v>49</v>
      </c>
      <c r="V82" s="1">
        <v>149500</v>
      </c>
      <c r="W82" s="1"/>
      <c r="Y82" t="s">
        <v>49</v>
      </c>
      <c r="Z82" s="1">
        <v>149500</v>
      </c>
      <c r="AA82" s="1"/>
      <c r="AC82" t="s">
        <v>49</v>
      </c>
      <c r="AD82" s="1">
        <v>149500</v>
      </c>
      <c r="AE82" s="1"/>
      <c r="AH82" t="s">
        <v>49</v>
      </c>
      <c r="AI82" s="1">
        <v>149500</v>
      </c>
      <c r="AJ82" s="1"/>
      <c r="AM82" t="s">
        <v>50</v>
      </c>
      <c r="AN82" s="1">
        <v>8930616</v>
      </c>
      <c r="AO82" s="1"/>
      <c r="AR82" t="s">
        <v>48</v>
      </c>
      <c r="AS82" s="1">
        <v>6408765</v>
      </c>
      <c r="AT82" s="1"/>
      <c r="AW82" t="s">
        <v>49</v>
      </c>
      <c r="AX82" s="1">
        <v>149500</v>
      </c>
      <c r="AY82" s="1"/>
    </row>
    <row r="83" spans="1:51" x14ac:dyDescent="0.25">
      <c r="A83" t="s">
        <v>49</v>
      </c>
      <c r="B83" s="1">
        <v>149500</v>
      </c>
      <c r="C83" s="1"/>
      <c r="E83" t="s">
        <v>52</v>
      </c>
      <c r="F83" s="1"/>
      <c r="G83" s="1"/>
      <c r="I83" t="s">
        <v>77</v>
      </c>
      <c r="J83" s="1">
        <v>2750000</v>
      </c>
      <c r="K83" s="1"/>
      <c r="M83" t="s">
        <v>77</v>
      </c>
      <c r="N83" s="1">
        <v>2750000</v>
      </c>
      <c r="O83" s="1"/>
      <c r="Q83" t="s">
        <v>77</v>
      </c>
      <c r="R83" s="1">
        <v>2750000</v>
      </c>
      <c r="S83" s="1"/>
      <c r="T83" s="1"/>
      <c r="U83" t="s">
        <v>50</v>
      </c>
      <c r="V83" s="1">
        <v>8930616</v>
      </c>
      <c r="W83" s="1"/>
      <c r="Y83" t="s">
        <v>50</v>
      </c>
      <c r="Z83" s="1">
        <v>8930616</v>
      </c>
      <c r="AA83" s="1"/>
      <c r="AC83" t="s">
        <v>50</v>
      </c>
      <c r="AD83" s="1">
        <v>8930616</v>
      </c>
      <c r="AE83" s="1"/>
      <c r="AH83" t="s">
        <v>50</v>
      </c>
      <c r="AI83" s="1">
        <v>8930616</v>
      </c>
      <c r="AJ83" s="1"/>
      <c r="AM83" t="s">
        <v>77</v>
      </c>
      <c r="AN83" s="1">
        <v>2750000</v>
      </c>
      <c r="AO83" s="1"/>
      <c r="AR83" t="s">
        <v>49</v>
      </c>
      <c r="AS83" s="1">
        <v>149500</v>
      </c>
      <c r="AT83" s="1"/>
      <c r="AW83" t="s">
        <v>50</v>
      </c>
      <c r="AX83" s="1">
        <v>8930616</v>
      </c>
      <c r="AY83" s="1"/>
    </row>
    <row r="84" spans="1:51" x14ac:dyDescent="0.25">
      <c r="A84" t="s">
        <v>50</v>
      </c>
      <c r="B84" s="1">
        <v>8930616</v>
      </c>
      <c r="C84" s="1"/>
      <c r="E84" t="s">
        <v>178</v>
      </c>
      <c r="F84" s="1">
        <v>94000</v>
      </c>
      <c r="G84" s="1"/>
      <c r="I84" t="s">
        <v>52</v>
      </c>
      <c r="J84" s="1"/>
      <c r="K84" s="1"/>
      <c r="M84" t="s">
        <v>52</v>
      </c>
      <c r="N84" s="1"/>
      <c r="O84" s="1"/>
      <c r="Q84" t="s">
        <v>52</v>
      </c>
      <c r="R84" s="1"/>
      <c r="S84" s="1"/>
      <c r="T84" s="1"/>
      <c r="U84" t="s">
        <v>77</v>
      </c>
      <c r="V84" s="1">
        <v>2750000</v>
      </c>
      <c r="W84" s="1"/>
      <c r="Y84" t="s">
        <v>77</v>
      </c>
      <c r="Z84" s="1">
        <v>2750000</v>
      </c>
      <c r="AA84" s="1"/>
      <c r="AC84" t="s">
        <v>77</v>
      </c>
      <c r="AD84" s="1">
        <v>2750000</v>
      </c>
      <c r="AE84" s="1"/>
      <c r="AH84" t="s">
        <v>77</v>
      </c>
      <c r="AI84" s="1">
        <v>2750000</v>
      </c>
      <c r="AJ84" s="1"/>
      <c r="AM84" t="s">
        <v>260</v>
      </c>
      <c r="AN84" s="1">
        <v>27000000</v>
      </c>
      <c r="AO84" s="1"/>
      <c r="AR84" t="s">
        <v>50</v>
      </c>
      <c r="AS84" s="1">
        <v>8930616</v>
      </c>
      <c r="AT84" s="1"/>
      <c r="AW84" t="s">
        <v>77</v>
      </c>
      <c r="AX84" s="1">
        <v>2750000</v>
      </c>
      <c r="AY84" s="1"/>
    </row>
    <row r="85" spans="1:51" x14ac:dyDescent="0.25">
      <c r="A85" t="s">
        <v>77</v>
      </c>
      <c r="B85" s="1">
        <v>2750000</v>
      </c>
      <c r="C85" s="1"/>
      <c r="E85" t="s">
        <v>67</v>
      </c>
      <c r="F85" s="1">
        <v>600900</v>
      </c>
      <c r="G85" s="1"/>
      <c r="I85" t="s">
        <v>67</v>
      </c>
      <c r="J85" s="1">
        <v>600900</v>
      </c>
      <c r="K85" s="1"/>
      <c r="M85" t="s">
        <v>67</v>
      </c>
      <c r="N85" s="1">
        <v>600900</v>
      </c>
      <c r="O85" s="1"/>
      <c r="Q85" t="s">
        <v>67</v>
      </c>
      <c r="R85" s="1">
        <v>600900</v>
      </c>
      <c r="S85" s="1"/>
      <c r="T85" s="1"/>
      <c r="U85" t="s">
        <v>52</v>
      </c>
      <c r="V85" s="1"/>
      <c r="W85" s="1"/>
      <c r="Y85" t="s">
        <v>52</v>
      </c>
      <c r="Z85" s="1"/>
      <c r="AA85" s="1"/>
      <c r="AC85" t="s">
        <v>52</v>
      </c>
      <c r="AD85" s="1"/>
      <c r="AE85" s="1"/>
      <c r="AH85" t="s">
        <v>52</v>
      </c>
      <c r="AI85" s="1"/>
      <c r="AJ85" s="1"/>
      <c r="AM85" t="s">
        <v>67</v>
      </c>
      <c r="AN85" s="1">
        <v>600900</v>
      </c>
      <c r="AO85" s="1"/>
      <c r="AR85" t="s">
        <v>77</v>
      </c>
      <c r="AS85" s="1">
        <v>2750000</v>
      </c>
      <c r="AT85" s="1"/>
      <c r="AW85" t="s">
        <v>276</v>
      </c>
      <c r="AX85" s="1">
        <v>10000000</v>
      </c>
      <c r="AY85" s="1"/>
    </row>
    <row r="86" spans="1:51" x14ac:dyDescent="0.25">
      <c r="A86" t="s">
        <v>52</v>
      </c>
      <c r="B86" s="1"/>
      <c r="C86" s="1"/>
      <c r="E86" t="s">
        <v>53</v>
      </c>
      <c r="F86" s="1">
        <v>19470881</v>
      </c>
      <c r="G86" s="3">
        <f>SUM(F79:F86)</f>
        <v>38404662</v>
      </c>
      <c r="I86" t="s">
        <v>53</v>
      </c>
      <c r="J86" s="1">
        <v>19470881</v>
      </c>
      <c r="K86" s="3">
        <f>SUM(J80:J86)</f>
        <v>38310662</v>
      </c>
      <c r="M86" t="s">
        <v>53</v>
      </c>
      <c r="N86" s="1">
        <v>19470881</v>
      </c>
      <c r="O86" s="3">
        <f>SUM(N80:N86)</f>
        <v>38310662</v>
      </c>
      <c r="Q86" t="s">
        <v>53</v>
      </c>
      <c r="R86" s="1">
        <v>19470881</v>
      </c>
      <c r="S86" s="3">
        <f>SUM(R80:R86)</f>
        <v>38310662</v>
      </c>
      <c r="T86" s="1"/>
      <c r="U86" t="s">
        <v>67</v>
      </c>
      <c r="V86" s="1">
        <v>600900</v>
      </c>
      <c r="W86" s="1"/>
      <c r="Y86" t="s">
        <v>234</v>
      </c>
      <c r="Z86" s="1">
        <v>5192433</v>
      </c>
      <c r="AA86" s="1"/>
      <c r="AC86" t="s">
        <v>234</v>
      </c>
      <c r="AD86" s="1"/>
      <c r="AE86" s="1"/>
      <c r="AH86" t="s">
        <v>234</v>
      </c>
      <c r="AI86" s="1"/>
      <c r="AJ86" s="1"/>
      <c r="AM86" t="s">
        <v>53</v>
      </c>
      <c r="AN86" s="1">
        <v>13152729</v>
      </c>
      <c r="AO86" s="3">
        <f>SUM(AN80:AN86)</f>
        <v>58992510</v>
      </c>
      <c r="AR86" t="s">
        <v>276</v>
      </c>
      <c r="AS86" s="1">
        <v>15000000</v>
      </c>
      <c r="AT86" s="1"/>
      <c r="AW86" t="s">
        <v>260</v>
      </c>
      <c r="AX86" s="1">
        <v>30528000</v>
      </c>
      <c r="AY86" s="1"/>
    </row>
    <row r="87" spans="1:51" x14ac:dyDescent="0.25">
      <c r="A87" t="s">
        <v>67</v>
      </c>
      <c r="B87" s="1">
        <v>600900</v>
      </c>
      <c r="C87" s="1"/>
      <c r="E87" s="2"/>
      <c r="F87" s="3"/>
      <c r="G87" s="3"/>
      <c r="I87" s="2"/>
      <c r="J87" s="3"/>
      <c r="K87" s="3"/>
      <c r="M87" s="2"/>
      <c r="N87" s="3"/>
      <c r="O87" s="3"/>
      <c r="Q87" s="2"/>
      <c r="R87" s="3"/>
      <c r="S87" s="3"/>
      <c r="T87" s="1"/>
      <c r="U87" t="s">
        <v>53</v>
      </c>
      <c r="V87" s="1">
        <v>19470881</v>
      </c>
      <c r="W87" s="3">
        <f>SUM(V81:V87)</f>
        <v>38310662</v>
      </c>
      <c r="Y87" t="s">
        <v>67</v>
      </c>
      <c r="Z87" s="1">
        <v>600900</v>
      </c>
      <c r="AA87" s="1"/>
      <c r="AC87" t="s">
        <v>67</v>
      </c>
      <c r="AD87" s="1">
        <v>600900</v>
      </c>
      <c r="AE87" s="1"/>
      <c r="AH87" t="s">
        <v>67</v>
      </c>
      <c r="AI87" s="1">
        <v>600900</v>
      </c>
      <c r="AJ87" s="1"/>
      <c r="AM87" s="2"/>
      <c r="AN87" s="3"/>
      <c r="AO87" s="3"/>
      <c r="AR87" t="s">
        <v>289</v>
      </c>
      <c r="AS87" s="1">
        <v>4000000</v>
      </c>
      <c r="AT87" s="1"/>
      <c r="AW87" t="s">
        <v>67</v>
      </c>
      <c r="AX87" s="1">
        <v>600900</v>
      </c>
      <c r="AY87" s="1"/>
    </row>
    <row r="88" spans="1:51" x14ac:dyDescent="0.25">
      <c r="A88" t="s">
        <v>53</v>
      </c>
      <c r="B88" s="1">
        <v>19470881</v>
      </c>
      <c r="C88" s="1"/>
      <c r="E88" s="2" t="s">
        <v>54</v>
      </c>
      <c r="F88" s="3"/>
      <c r="G88" s="1"/>
      <c r="I88" s="2" t="s">
        <v>54</v>
      </c>
      <c r="J88" s="3"/>
      <c r="K88" s="1"/>
      <c r="M88" s="2" t="s">
        <v>54</v>
      </c>
      <c r="N88" s="3"/>
      <c r="O88" s="1"/>
      <c r="Q88" s="2" t="s">
        <v>54</v>
      </c>
      <c r="R88" s="3"/>
      <c r="S88" s="1"/>
      <c r="T88" s="1"/>
      <c r="U88" s="2"/>
      <c r="V88" s="3"/>
      <c r="W88" s="3"/>
      <c r="Y88" t="s">
        <v>53</v>
      </c>
      <c r="Z88" s="1">
        <v>19470881</v>
      </c>
      <c r="AA88" s="3">
        <f>SUM(Z81:Z88)</f>
        <v>43503095</v>
      </c>
      <c r="AC88" t="s">
        <v>53</v>
      </c>
      <c r="AD88" s="1">
        <v>19470881</v>
      </c>
      <c r="AE88" s="3">
        <f>SUM(AD81:AD88)</f>
        <v>38310662</v>
      </c>
      <c r="AH88" t="s">
        <v>53</v>
      </c>
      <c r="AI88" s="1">
        <v>13152729</v>
      </c>
      <c r="AJ88" s="3">
        <f>SUM(AI81:AI88)</f>
        <v>31992510</v>
      </c>
      <c r="AM88" s="2" t="s">
        <v>54</v>
      </c>
      <c r="AN88" s="3"/>
      <c r="AO88" s="1"/>
      <c r="AR88" t="s">
        <v>260</v>
      </c>
      <c r="AS88" s="1">
        <v>30528000</v>
      </c>
      <c r="AT88" s="1"/>
      <c r="AW88" t="s">
        <v>53</v>
      </c>
      <c r="AX88" s="1">
        <v>13152729</v>
      </c>
      <c r="AY88" s="3">
        <f>SUM(AX81:AX88)</f>
        <v>72520510</v>
      </c>
    </row>
    <row r="89" spans="1:51" x14ac:dyDescent="0.25">
      <c r="A89" s="2"/>
      <c r="B89" s="3"/>
      <c r="C89" s="3">
        <f>SUM(B80:B88)</f>
        <v>64766662</v>
      </c>
      <c r="E89" t="s">
        <v>55</v>
      </c>
      <c r="F89" s="1">
        <v>92242000</v>
      </c>
      <c r="G89" s="1"/>
      <c r="I89" t="s">
        <v>55</v>
      </c>
      <c r="J89" s="1">
        <v>92242000</v>
      </c>
      <c r="K89" s="1"/>
      <c r="M89" t="s">
        <v>55</v>
      </c>
      <c r="N89" s="1">
        <v>92242000</v>
      </c>
      <c r="O89" s="1"/>
      <c r="Q89" t="s">
        <v>55</v>
      </c>
      <c r="R89" s="1">
        <v>92242000</v>
      </c>
      <c r="S89" s="1"/>
      <c r="T89" s="1"/>
      <c r="U89" s="2" t="s">
        <v>54</v>
      </c>
      <c r="V89" s="3"/>
      <c r="W89" s="1"/>
      <c r="Y89" s="2"/>
      <c r="Z89" s="3"/>
      <c r="AA89" s="3"/>
      <c r="AC89" s="2"/>
      <c r="AD89" s="3"/>
      <c r="AE89" s="3"/>
      <c r="AH89" s="2"/>
      <c r="AI89" s="3"/>
      <c r="AJ89" s="3"/>
      <c r="AM89" t="s">
        <v>55</v>
      </c>
      <c r="AN89" s="1">
        <v>93242000</v>
      </c>
      <c r="AO89" s="1"/>
      <c r="AR89" t="s">
        <v>67</v>
      </c>
      <c r="AS89" s="1">
        <v>600900</v>
      </c>
      <c r="AT89" s="1"/>
      <c r="AW89" s="2"/>
      <c r="AX89" s="3"/>
      <c r="AY89" s="3"/>
    </row>
    <row r="90" spans="1:51" x14ac:dyDescent="0.25">
      <c r="A90" s="2" t="s">
        <v>54</v>
      </c>
      <c r="B90" s="3"/>
      <c r="C90" s="3"/>
      <c r="E90" t="s">
        <v>93</v>
      </c>
      <c r="F90" s="1">
        <v>6972416</v>
      </c>
      <c r="G90" s="1"/>
      <c r="I90" t="s">
        <v>93</v>
      </c>
      <c r="J90" s="1">
        <v>6972416</v>
      </c>
      <c r="K90" s="1"/>
      <c r="M90" t="s">
        <v>93</v>
      </c>
      <c r="N90" s="1">
        <v>6972416</v>
      </c>
      <c r="O90" s="1"/>
      <c r="Q90" t="s">
        <v>93</v>
      </c>
      <c r="R90" s="1">
        <v>6972416</v>
      </c>
      <c r="S90" s="1"/>
      <c r="T90" s="1"/>
      <c r="U90" t="s">
        <v>55</v>
      </c>
      <c r="V90" s="1">
        <v>92242000</v>
      </c>
      <c r="W90" s="1"/>
      <c r="Y90" s="2" t="s">
        <v>54</v>
      </c>
      <c r="Z90" s="3"/>
      <c r="AA90" s="1"/>
      <c r="AC90" s="2" t="s">
        <v>54</v>
      </c>
      <c r="AD90" s="3"/>
      <c r="AE90" s="1"/>
      <c r="AH90" s="2" t="s">
        <v>54</v>
      </c>
      <c r="AI90" s="3"/>
      <c r="AJ90" s="1"/>
      <c r="AM90" t="s">
        <v>93</v>
      </c>
      <c r="AN90" s="1">
        <v>6972416</v>
      </c>
      <c r="AO90" s="1"/>
      <c r="AR90" t="s">
        <v>53</v>
      </c>
      <c r="AS90" s="1">
        <v>13152729</v>
      </c>
      <c r="AT90" s="3">
        <f>SUM(AS82:AS90)</f>
        <v>81520510</v>
      </c>
      <c r="AW90" s="2" t="s">
        <v>54</v>
      </c>
      <c r="AX90" s="3"/>
      <c r="AY90" s="1"/>
    </row>
    <row r="91" spans="1:51" x14ac:dyDescent="0.25">
      <c r="A91" t="s">
        <v>55</v>
      </c>
      <c r="B91" s="1">
        <v>92242000</v>
      </c>
      <c r="C91" s="1"/>
      <c r="E91" t="s">
        <v>56</v>
      </c>
      <c r="F91" s="1">
        <v>56448</v>
      </c>
      <c r="G91" s="1"/>
      <c r="I91" t="s">
        <v>56</v>
      </c>
      <c r="J91" s="1">
        <v>56448</v>
      </c>
      <c r="K91" s="1"/>
      <c r="M91" t="s">
        <v>56</v>
      </c>
      <c r="N91" s="1">
        <v>56448</v>
      </c>
      <c r="O91" s="1"/>
      <c r="Q91" t="s">
        <v>56</v>
      </c>
      <c r="R91" s="1">
        <v>56448</v>
      </c>
      <c r="S91" s="1"/>
      <c r="T91" s="1"/>
      <c r="U91" t="s">
        <v>93</v>
      </c>
      <c r="V91" s="1">
        <v>6972416</v>
      </c>
      <c r="W91" s="1"/>
      <c r="Y91" t="s">
        <v>55</v>
      </c>
      <c r="Z91" s="1">
        <v>93242000</v>
      </c>
      <c r="AA91" s="1"/>
      <c r="AC91" t="s">
        <v>55</v>
      </c>
      <c r="AD91" s="1">
        <v>93242000</v>
      </c>
      <c r="AE91" s="1"/>
      <c r="AH91" t="s">
        <v>55</v>
      </c>
      <c r="AI91" s="1">
        <v>93242000</v>
      </c>
      <c r="AJ91" s="1"/>
      <c r="AM91" t="s">
        <v>56</v>
      </c>
      <c r="AN91" s="1">
        <v>56448</v>
      </c>
      <c r="AO91" s="1"/>
      <c r="AR91" s="2"/>
      <c r="AS91" s="3"/>
      <c r="AT91" s="3"/>
      <c r="AW91" t="s">
        <v>55</v>
      </c>
      <c r="AX91" s="1">
        <v>93242000</v>
      </c>
      <c r="AY91" s="1"/>
    </row>
    <row r="92" spans="1:51" x14ac:dyDescent="0.25">
      <c r="A92" t="s">
        <v>93</v>
      </c>
      <c r="B92" s="1">
        <v>6972416</v>
      </c>
      <c r="C92" s="1"/>
      <c r="E92" t="s">
        <v>57</v>
      </c>
      <c r="F92" s="1">
        <v>5625000</v>
      </c>
      <c r="G92" s="1"/>
      <c r="I92" t="s">
        <v>57</v>
      </c>
      <c r="J92" s="1">
        <v>5625000</v>
      </c>
      <c r="K92" s="1"/>
      <c r="M92" t="s">
        <v>57</v>
      </c>
      <c r="N92" s="1">
        <v>5625000</v>
      </c>
      <c r="O92" s="1"/>
      <c r="Q92" t="s">
        <v>57</v>
      </c>
      <c r="R92" s="1">
        <v>5625000</v>
      </c>
      <c r="S92" s="1"/>
      <c r="T92" s="1"/>
      <c r="U92" t="s">
        <v>56</v>
      </c>
      <c r="V92" s="1">
        <v>56448</v>
      </c>
      <c r="W92" s="1"/>
      <c r="Y92" t="s">
        <v>93</v>
      </c>
      <c r="Z92" s="1">
        <v>6972416</v>
      </c>
      <c r="AA92" s="1"/>
      <c r="AC92" t="s">
        <v>93</v>
      </c>
      <c r="AD92" s="1">
        <v>6972416</v>
      </c>
      <c r="AE92" s="1"/>
      <c r="AH92" t="s">
        <v>93</v>
      </c>
      <c r="AI92" s="1">
        <v>6972416</v>
      </c>
      <c r="AJ92" s="1"/>
      <c r="AM92" t="s">
        <v>57</v>
      </c>
      <c r="AN92" s="1">
        <v>5625000</v>
      </c>
      <c r="AO92" s="1"/>
      <c r="AR92" s="2" t="s">
        <v>54</v>
      </c>
      <c r="AS92" s="3"/>
      <c r="AT92" s="1"/>
      <c r="AW92" t="s">
        <v>93</v>
      </c>
      <c r="AX92" s="1">
        <v>6972416</v>
      </c>
      <c r="AY92" s="1"/>
    </row>
    <row r="93" spans="1:51" x14ac:dyDescent="0.25">
      <c r="A93" t="s">
        <v>56</v>
      </c>
      <c r="B93" s="1">
        <v>56448</v>
      </c>
      <c r="C93" s="1"/>
      <c r="E93" t="s">
        <v>58</v>
      </c>
      <c r="F93" s="1">
        <v>534750</v>
      </c>
      <c r="G93" s="1">
        <f>SUM(F89:F93)</f>
        <v>105430614</v>
      </c>
      <c r="I93" t="s">
        <v>58</v>
      </c>
      <c r="J93" s="1">
        <v>534750</v>
      </c>
      <c r="K93" s="1">
        <f>SUM(J89:J93)</f>
        <v>105430614</v>
      </c>
      <c r="M93" t="s">
        <v>58</v>
      </c>
      <c r="N93" s="1">
        <v>534750</v>
      </c>
      <c r="O93" s="1">
        <f>SUM(N89:N93)</f>
        <v>105430614</v>
      </c>
      <c r="Q93" t="s">
        <v>58</v>
      </c>
      <c r="R93" s="1">
        <v>534750</v>
      </c>
      <c r="S93" s="1">
        <f>SUM(R89:R93)</f>
        <v>105430614</v>
      </c>
      <c r="T93" s="1"/>
      <c r="U93" t="s">
        <v>57</v>
      </c>
      <c r="V93" s="1">
        <v>5625000</v>
      </c>
      <c r="W93" s="1"/>
      <c r="Y93" t="s">
        <v>56</v>
      </c>
      <c r="Z93" s="1">
        <v>56448</v>
      </c>
      <c r="AA93" s="1"/>
      <c r="AC93" t="s">
        <v>56</v>
      </c>
      <c r="AD93" s="1">
        <v>56448</v>
      </c>
      <c r="AE93" s="1"/>
      <c r="AH93" t="s">
        <v>56</v>
      </c>
      <c r="AI93" s="1">
        <v>56448</v>
      </c>
      <c r="AJ93" s="1"/>
      <c r="AM93" t="s">
        <v>58</v>
      </c>
      <c r="AN93" s="1">
        <v>534750</v>
      </c>
      <c r="AO93" s="1">
        <f>SUM(AN89:AN93)</f>
        <v>106430614</v>
      </c>
      <c r="AR93" t="s">
        <v>55</v>
      </c>
      <c r="AS93" s="1">
        <v>93242000</v>
      </c>
      <c r="AT93" s="1"/>
      <c r="AW93" t="s">
        <v>56</v>
      </c>
      <c r="AX93" s="1">
        <v>56448</v>
      </c>
      <c r="AY93" s="1"/>
    </row>
    <row r="94" spans="1:51" x14ac:dyDescent="0.25">
      <c r="A94" t="s">
        <v>57</v>
      </c>
      <c r="B94" s="1">
        <v>5625000</v>
      </c>
      <c r="C94" s="1"/>
      <c r="F94" s="1"/>
      <c r="G94" s="3">
        <f>SUM(G55:G93)</f>
        <v>290494493.24000001</v>
      </c>
      <c r="J94" s="1"/>
      <c r="K94" s="3">
        <f>SUM(K55:K93)</f>
        <v>328875969.64999998</v>
      </c>
      <c r="N94" s="1"/>
      <c r="O94" s="3">
        <f>SUM(O55:O93)</f>
        <v>347666778.74000001</v>
      </c>
      <c r="R94" s="1"/>
      <c r="S94" s="3">
        <f>SUM(S55:S93)</f>
        <v>370306407</v>
      </c>
      <c r="T94" s="1"/>
      <c r="U94" t="s">
        <v>58</v>
      </c>
      <c r="V94" s="1">
        <v>534750</v>
      </c>
      <c r="W94" s="1">
        <f>SUM(V90:V94)</f>
        <v>105430614</v>
      </c>
      <c r="Y94" t="s">
        <v>57</v>
      </c>
      <c r="Z94" s="1">
        <v>5625000</v>
      </c>
      <c r="AA94" s="1"/>
      <c r="AC94" t="s">
        <v>57</v>
      </c>
      <c r="AD94" s="1">
        <v>5625000</v>
      </c>
      <c r="AE94" s="1"/>
      <c r="AH94" t="s">
        <v>57</v>
      </c>
      <c r="AI94" s="1">
        <v>5625000</v>
      </c>
      <c r="AJ94" s="1"/>
      <c r="AN94" s="1"/>
      <c r="AO94" s="3">
        <f>SUM(AO55:AO93)</f>
        <v>349503612</v>
      </c>
      <c r="AR94" t="s">
        <v>93</v>
      </c>
      <c r="AS94" s="1">
        <v>6972416</v>
      </c>
      <c r="AT94" s="1"/>
      <c r="AW94" t="s">
        <v>57</v>
      </c>
      <c r="AX94" s="1">
        <v>5625000</v>
      </c>
      <c r="AY94" s="1"/>
    </row>
    <row r="95" spans="1:51" x14ac:dyDescent="0.25">
      <c r="A95" t="s">
        <v>58</v>
      </c>
      <c r="B95" s="1">
        <v>534750</v>
      </c>
      <c r="C95" s="1"/>
      <c r="E95" s="2"/>
      <c r="F95" s="3"/>
      <c r="G95" s="3"/>
      <c r="I95" s="2"/>
      <c r="J95" s="3"/>
      <c r="K95" s="3"/>
      <c r="M95" s="2"/>
      <c r="N95" s="3"/>
      <c r="O95" s="3"/>
      <c r="Q95" s="2"/>
      <c r="R95" s="3"/>
      <c r="S95" s="3"/>
      <c r="T95" s="1"/>
      <c r="V95" s="1"/>
      <c r="W95" s="3">
        <f>SUM(W55:W94)</f>
        <v>347014638</v>
      </c>
      <c r="Y95" t="s">
        <v>58</v>
      </c>
      <c r="Z95" s="1">
        <v>534750</v>
      </c>
      <c r="AA95" s="1">
        <f>SUM(Z91:Z95)</f>
        <v>106430614</v>
      </c>
      <c r="AC95" t="s">
        <v>58</v>
      </c>
      <c r="AD95" s="1">
        <v>534750</v>
      </c>
      <c r="AE95" s="1">
        <f>SUM(AD91:AD95)</f>
        <v>106430614</v>
      </c>
      <c r="AH95" t="s">
        <v>58</v>
      </c>
      <c r="AI95" s="1">
        <v>534750</v>
      </c>
      <c r="AJ95" s="1">
        <f>SUM(AI91:AI95)</f>
        <v>106430614</v>
      </c>
      <c r="AM95" s="2"/>
      <c r="AN95" s="3"/>
      <c r="AO95" s="3"/>
      <c r="AR95" t="s">
        <v>56</v>
      </c>
      <c r="AS95" s="1">
        <v>56448</v>
      </c>
      <c r="AT95" s="1"/>
      <c r="AW95" t="s">
        <v>58</v>
      </c>
      <c r="AX95" s="1">
        <v>534750</v>
      </c>
      <c r="AY95" s="1">
        <f>SUM(AX91:AX95)</f>
        <v>106430614</v>
      </c>
    </row>
    <row r="96" spans="1:51" x14ac:dyDescent="0.25">
      <c r="B96" s="1"/>
      <c r="C96" s="1">
        <f>SUM(B91:B95)</f>
        <v>105430614</v>
      </c>
      <c r="E96" s="2" t="s">
        <v>59</v>
      </c>
      <c r="F96" s="3"/>
      <c r="G96" s="3"/>
      <c r="I96" s="2" t="s">
        <v>59</v>
      </c>
      <c r="J96" s="3"/>
      <c r="K96" s="3"/>
      <c r="M96" s="2" t="s">
        <v>59</v>
      </c>
      <c r="N96" s="3"/>
      <c r="O96" s="3"/>
      <c r="Q96" s="2" t="s">
        <v>59</v>
      </c>
      <c r="R96" s="3"/>
      <c r="S96" s="3"/>
      <c r="U96" s="2"/>
      <c r="V96" s="3"/>
      <c r="W96" s="3"/>
      <c r="Z96" s="1"/>
      <c r="AA96" s="3">
        <f>SUM(AA55:AA95)</f>
        <v>311101934</v>
      </c>
      <c r="AD96" s="1"/>
      <c r="AE96" s="3">
        <f>SUM(AE55:AE95)</f>
        <v>319920694</v>
      </c>
      <c r="AI96" s="1"/>
      <c r="AJ96" s="3">
        <f>SUM(AJ55:AJ95)</f>
        <v>336004567</v>
      </c>
      <c r="AM96" s="2" t="s">
        <v>59</v>
      </c>
      <c r="AN96" s="3"/>
      <c r="AO96" s="3"/>
      <c r="AR96" t="s">
        <v>57</v>
      </c>
      <c r="AS96" s="1">
        <v>5625000</v>
      </c>
      <c r="AT96" s="1"/>
      <c r="AX96" s="1"/>
      <c r="AY96" s="3">
        <f>SUM(AY55:AY95)</f>
        <v>330543310.32999998</v>
      </c>
    </row>
    <row r="97" spans="1:51" x14ac:dyDescent="0.25">
      <c r="A97" s="2"/>
      <c r="B97" s="3"/>
      <c r="C97" s="3">
        <f>SUM(C55:C96)</f>
        <v>292766893</v>
      </c>
      <c r="E97" t="s">
        <v>60</v>
      </c>
      <c r="F97" s="1"/>
      <c r="G97" s="1">
        <v>70969500</v>
      </c>
      <c r="I97" t="s">
        <v>60</v>
      </c>
      <c r="J97" s="1"/>
      <c r="K97" s="1">
        <v>70969500</v>
      </c>
      <c r="M97" t="s">
        <v>60</v>
      </c>
      <c r="N97" s="1"/>
      <c r="O97" s="1">
        <v>70969500</v>
      </c>
      <c r="Q97" t="s">
        <v>60</v>
      </c>
      <c r="R97" s="1"/>
      <c r="S97" s="1">
        <v>70969500</v>
      </c>
      <c r="U97" s="2" t="s">
        <v>59</v>
      </c>
      <c r="V97" s="3"/>
      <c r="W97" s="3"/>
      <c r="Y97" s="2"/>
      <c r="Z97" s="3"/>
      <c r="AA97" s="3"/>
      <c r="AC97" s="2"/>
      <c r="AD97" s="3"/>
      <c r="AE97" s="3"/>
      <c r="AH97" s="2"/>
      <c r="AI97" s="3"/>
      <c r="AJ97" s="3"/>
      <c r="AM97" t="s">
        <v>60</v>
      </c>
      <c r="AN97" s="1"/>
      <c r="AO97" s="1">
        <v>69969500</v>
      </c>
      <c r="AR97" t="s">
        <v>58</v>
      </c>
      <c r="AS97" s="1">
        <v>534750</v>
      </c>
      <c r="AT97" s="1">
        <f>SUM(AS93:AS97)</f>
        <v>106430614</v>
      </c>
      <c r="AW97" s="2"/>
      <c r="AX97" s="3"/>
      <c r="AY97" s="3"/>
    </row>
    <row r="98" spans="1:51" x14ac:dyDescent="0.25">
      <c r="A98" s="2" t="s">
        <v>59</v>
      </c>
      <c r="B98" s="3"/>
      <c r="C98" s="3"/>
      <c r="E98" t="s">
        <v>61</v>
      </c>
      <c r="F98" s="1"/>
      <c r="G98" s="1">
        <v>2776893</v>
      </c>
      <c r="I98" t="s">
        <v>61</v>
      </c>
      <c r="J98" s="1"/>
      <c r="K98" s="1">
        <v>1966293</v>
      </c>
      <c r="M98" t="s">
        <v>61</v>
      </c>
      <c r="N98" s="1"/>
      <c r="O98" s="1">
        <v>1966293</v>
      </c>
      <c r="Q98" t="s">
        <v>61</v>
      </c>
      <c r="R98" s="1"/>
      <c r="S98" s="1">
        <v>1966293</v>
      </c>
      <c r="U98" t="s">
        <v>60</v>
      </c>
      <c r="V98" s="1"/>
      <c r="W98" s="1">
        <v>70969500</v>
      </c>
      <c r="Y98" s="2" t="s">
        <v>59</v>
      </c>
      <c r="Z98" s="3"/>
      <c r="AA98" s="3"/>
      <c r="AC98" s="2" t="s">
        <v>59</v>
      </c>
      <c r="AD98" s="3"/>
      <c r="AE98" s="3"/>
      <c r="AH98" s="2" t="s">
        <v>59</v>
      </c>
      <c r="AI98" s="3"/>
      <c r="AJ98" s="3"/>
      <c r="AM98" t="s">
        <v>65</v>
      </c>
      <c r="AN98" s="1"/>
      <c r="AO98" s="1">
        <v>14410000</v>
      </c>
      <c r="AS98" s="1"/>
      <c r="AT98" s="3">
        <f>SUM(AT55:AT97)</f>
        <v>388062433.09000003</v>
      </c>
      <c r="AW98" s="2" t="s">
        <v>59</v>
      </c>
      <c r="AX98" s="3"/>
      <c r="AY98" s="3"/>
    </row>
    <row r="99" spans="1:51" x14ac:dyDescent="0.25">
      <c r="A99" t="s">
        <v>60</v>
      </c>
      <c r="B99" s="1"/>
      <c r="C99" s="1">
        <v>74750530.549999997</v>
      </c>
      <c r="E99" t="s">
        <v>79</v>
      </c>
      <c r="G99" s="1">
        <v>3800000</v>
      </c>
      <c r="I99" t="s">
        <v>79</v>
      </c>
      <c r="K99" s="1">
        <v>3800000</v>
      </c>
      <c r="M99" t="s">
        <v>79</v>
      </c>
      <c r="O99" s="1">
        <v>3800000</v>
      </c>
      <c r="Q99" t="s">
        <v>79</v>
      </c>
      <c r="S99" s="1">
        <v>3800000</v>
      </c>
      <c r="U99" t="s">
        <v>61</v>
      </c>
      <c r="V99" s="1"/>
      <c r="W99" s="1">
        <v>1966293</v>
      </c>
      <c r="Y99" t="s">
        <v>60</v>
      </c>
      <c r="Z99" s="1"/>
      <c r="AA99" s="1">
        <v>70969500</v>
      </c>
      <c r="AC99" t="s">
        <v>60</v>
      </c>
      <c r="AD99" s="1"/>
      <c r="AE99" s="1">
        <v>70969500</v>
      </c>
      <c r="AH99" t="s">
        <v>60</v>
      </c>
      <c r="AI99" s="1"/>
      <c r="AJ99" s="1">
        <v>70969500</v>
      </c>
      <c r="AM99" t="s">
        <v>61</v>
      </c>
      <c r="AN99" s="1"/>
      <c r="AO99" s="1">
        <v>1966293</v>
      </c>
      <c r="AR99" s="2"/>
      <c r="AS99" s="3"/>
      <c r="AT99" s="3"/>
      <c r="AW99" t="s">
        <v>60</v>
      </c>
      <c r="AX99" s="1"/>
      <c r="AY99" s="1">
        <v>69969500</v>
      </c>
    </row>
    <row r="100" spans="1:51" x14ac:dyDescent="0.25">
      <c r="A100" t="s">
        <v>61</v>
      </c>
      <c r="B100" s="1"/>
      <c r="C100" s="1">
        <v>2776893</v>
      </c>
      <c r="E100" t="s">
        <v>63</v>
      </c>
      <c r="F100" s="1"/>
      <c r="G100" s="1">
        <v>317200</v>
      </c>
      <c r="I100" t="s">
        <v>63</v>
      </c>
      <c r="J100" s="1"/>
      <c r="K100" s="1">
        <v>317200</v>
      </c>
      <c r="M100" t="s">
        <v>63</v>
      </c>
      <c r="N100" s="1"/>
      <c r="O100" s="1">
        <v>317200</v>
      </c>
      <c r="Q100" t="s">
        <v>63</v>
      </c>
      <c r="R100" s="1"/>
      <c r="S100" s="1">
        <v>317200</v>
      </c>
      <c r="U100" t="s">
        <v>79</v>
      </c>
      <c r="W100" s="1">
        <v>3800000</v>
      </c>
      <c r="Y100" t="s">
        <v>61</v>
      </c>
      <c r="Z100" s="1"/>
      <c r="AA100" s="1">
        <v>1966293</v>
      </c>
      <c r="AC100" t="s">
        <v>61</v>
      </c>
      <c r="AD100" s="1"/>
      <c r="AE100" s="1">
        <v>1966293</v>
      </c>
      <c r="AH100" t="s">
        <v>65</v>
      </c>
      <c r="AI100" s="1"/>
      <c r="AJ100" s="1">
        <v>11298160</v>
      </c>
      <c r="AK100" t="s">
        <v>258</v>
      </c>
      <c r="AM100" t="s">
        <v>79</v>
      </c>
      <c r="AO100" s="1">
        <v>15818000</v>
      </c>
      <c r="AR100" s="2" t="s">
        <v>59</v>
      </c>
      <c r="AS100" s="3"/>
      <c r="AT100" s="3"/>
      <c r="AW100" t="s">
        <v>65</v>
      </c>
      <c r="AX100" s="1"/>
      <c r="AY100" s="1">
        <v>0</v>
      </c>
    </row>
    <row r="101" spans="1:51" x14ac:dyDescent="0.25">
      <c r="A101" t="s">
        <v>79</v>
      </c>
      <c r="C101" s="1">
        <v>3800000</v>
      </c>
      <c r="E101" t="s">
        <v>66</v>
      </c>
      <c r="F101" s="1"/>
      <c r="G101" s="1">
        <v>300000</v>
      </c>
      <c r="I101" t="s">
        <v>66</v>
      </c>
      <c r="J101" s="1"/>
      <c r="K101" s="1">
        <v>300000</v>
      </c>
      <c r="M101" t="s">
        <v>66</v>
      </c>
      <c r="N101" s="1"/>
      <c r="O101" s="1">
        <v>300000</v>
      </c>
      <c r="Q101" t="s">
        <v>66</v>
      </c>
      <c r="R101" s="1"/>
      <c r="S101" s="1">
        <v>300000</v>
      </c>
      <c r="U101" t="s">
        <v>63</v>
      </c>
      <c r="V101" s="1"/>
      <c r="W101" s="1">
        <v>317200</v>
      </c>
      <c r="Y101" t="s">
        <v>79</v>
      </c>
      <c r="AA101" s="1">
        <v>3800000</v>
      </c>
      <c r="AC101" t="s">
        <v>79</v>
      </c>
      <c r="AE101" s="1">
        <v>3800000</v>
      </c>
      <c r="AH101" t="s">
        <v>61</v>
      </c>
      <c r="AI101" s="1"/>
      <c r="AJ101" s="1">
        <v>1966293</v>
      </c>
      <c r="AM101" t="s">
        <v>63</v>
      </c>
      <c r="AN101" s="1"/>
      <c r="AO101" s="1">
        <v>317200</v>
      </c>
      <c r="AR101" t="s">
        <v>60</v>
      </c>
      <c r="AS101" s="1"/>
      <c r="AT101" s="1">
        <v>69969500</v>
      </c>
      <c r="AW101" t="s">
        <v>61</v>
      </c>
      <c r="AX101" s="1"/>
      <c r="AY101" s="1">
        <v>1966293</v>
      </c>
    </row>
    <row r="102" spans="1:51" x14ac:dyDescent="0.25">
      <c r="A102" t="s">
        <v>63</v>
      </c>
      <c r="B102" s="1"/>
      <c r="C102" s="1">
        <v>317200</v>
      </c>
      <c r="E102" t="s">
        <v>165</v>
      </c>
      <c r="G102" s="1">
        <v>6336329</v>
      </c>
      <c r="I102" t="s">
        <v>67</v>
      </c>
      <c r="K102" s="1">
        <v>2628500</v>
      </c>
      <c r="M102" t="s">
        <v>67</v>
      </c>
      <c r="O102" s="1">
        <v>2628500</v>
      </c>
      <c r="Q102" t="s">
        <v>67</v>
      </c>
      <c r="S102" s="1">
        <v>2128000</v>
      </c>
      <c r="U102" t="s">
        <v>66</v>
      </c>
      <c r="V102" s="1"/>
      <c r="W102" s="1">
        <v>300000</v>
      </c>
      <c r="Y102" t="s">
        <v>63</v>
      </c>
      <c r="Z102" s="1"/>
      <c r="AA102" s="1">
        <v>317200</v>
      </c>
      <c r="AC102" t="s">
        <v>63</v>
      </c>
      <c r="AD102" s="1"/>
      <c r="AE102" s="1">
        <v>317200</v>
      </c>
      <c r="AH102" t="s">
        <v>79</v>
      </c>
      <c r="AJ102" s="1">
        <v>3800000</v>
      </c>
      <c r="AM102" t="s">
        <v>66</v>
      </c>
      <c r="AN102" s="1" t="s">
        <v>92</v>
      </c>
      <c r="AO102" s="1">
        <v>300000</v>
      </c>
      <c r="AR102" t="s">
        <v>65</v>
      </c>
      <c r="AS102" s="1"/>
      <c r="AT102" s="1">
        <v>43171060</v>
      </c>
      <c r="AW102" t="s">
        <v>79</v>
      </c>
      <c r="AY102" s="1">
        <v>15818000</v>
      </c>
    </row>
    <row r="103" spans="1:51" x14ac:dyDescent="0.25">
      <c r="A103" t="s">
        <v>66</v>
      </c>
      <c r="B103" s="1"/>
      <c r="C103" s="1">
        <v>300000</v>
      </c>
      <c r="E103" t="s">
        <v>67</v>
      </c>
      <c r="G103" s="1">
        <v>2628500</v>
      </c>
      <c r="I103" t="s">
        <v>78</v>
      </c>
      <c r="J103" s="1"/>
      <c r="K103" s="1">
        <v>659600</v>
      </c>
      <c r="M103" t="s">
        <v>78</v>
      </c>
      <c r="N103" s="1"/>
      <c r="O103" s="1">
        <v>659600</v>
      </c>
      <c r="Q103" t="s">
        <v>78</v>
      </c>
      <c r="R103" s="1"/>
      <c r="S103" s="1">
        <v>659600</v>
      </c>
      <c r="U103" t="s">
        <v>196</v>
      </c>
      <c r="W103" s="1">
        <v>50781520</v>
      </c>
      <c r="Y103" t="s">
        <v>66</v>
      </c>
      <c r="Z103" s="1"/>
      <c r="AA103" s="1">
        <v>300000</v>
      </c>
      <c r="AC103" t="s">
        <v>66</v>
      </c>
      <c r="AD103" s="1" t="s">
        <v>92</v>
      </c>
      <c r="AE103" s="1">
        <v>300000</v>
      </c>
      <c r="AH103" t="s">
        <v>63</v>
      </c>
      <c r="AI103" s="1"/>
      <c r="AJ103" s="1">
        <v>317200</v>
      </c>
      <c r="AM103" t="s">
        <v>235</v>
      </c>
      <c r="AN103" s="1"/>
      <c r="AO103" s="1">
        <v>1600000</v>
      </c>
      <c r="AR103" t="s">
        <v>61</v>
      </c>
      <c r="AS103" s="1"/>
      <c r="AT103" s="1">
        <v>1966293</v>
      </c>
      <c r="AW103" t="s">
        <v>63</v>
      </c>
      <c r="AX103" s="1"/>
      <c r="AY103" s="1">
        <v>317200</v>
      </c>
    </row>
    <row r="104" spans="1:51" x14ac:dyDescent="0.25">
      <c r="A104" t="s">
        <v>165</v>
      </c>
      <c r="C104" s="1">
        <v>38838042</v>
      </c>
      <c r="E104" t="s">
        <v>78</v>
      </c>
      <c r="F104" s="1"/>
      <c r="G104" s="1">
        <v>659600</v>
      </c>
      <c r="I104" t="s">
        <v>163</v>
      </c>
      <c r="K104" s="10">
        <v>12110000</v>
      </c>
      <c r="M104" t="s">
        <v>163</v>
      </c>
      <c r="O104" s="10">
        <v>12110000</v>
      </c>
      <c r="Q104" t="s">
        <v>163</v>
      </c>
      <c r="S104" s="10">
        <v>12110000</v>
      </c>
      <c r="U104" t="s">
        <v>78</v>
      </c>
      <c r="V104" s="1"/>
      <c r="W104" s="1">
        <v>659600</v>
      </c>
      <c r="Y104" t="s">
        <v>235</v>
      </c>
      <c r="Z104" s="1"/>
      <c r="AA104" s="1">
        <v>1600000</v>
      </c>
      <c r="AC104" t="s">
        <v>235</v>
      </c>
      <c r="AD104" s="1"/>
      <c r="AE104" s="1">
        <v>1600000</v>
      </c>
      <c r="AH104" t="s">
        <v>66</v>
      </c>
      <c r="AI104" s="1" t="s">
        <v>92</v>
      </c>
      <c r="AJ104" s="1">
        <v>300000</v>
      </c>
      <c r="AM104" t="s">
        <v>244</v>
      </c>
      <c r="AN104" s="1"/>
      <c r="AO104" s="1">
        <v>2000000</v>
      </c>
      <c r="AR104" t="s">
        <v>79</v>
      </c>
      <c r="AT104" s="1">
        <v>15818000</v>
      </c>
      <c r="AW104" t="s">
        <v>66</v>
      </c>
      <c r="AX104" s="1" t="s">
        <v>92</v>
      </c>
      <c r="AY104" s="1">
        <v>300000</v>
      </c>
    </row>
    <row r="105" spans="1:51" x14ac:dyDescent="0.25">
      <c r="A105" t="s">
        <v>67</v>
      </c>
      <c r="C105" s="1">
        <v>4858043</v>
      </c>
      <c r="E105" t="s">
        <v>163</v>
      </c>
      <c r="G105" s="10">
        <v>12110000</v>
      </c>
      <c r="I105" t="s">
        <v>85</v>
      </c>
      <c r="K105" s="1">
        <v>1000000</v>
      </c>
      <c r="M105" t="s">
        <v>85</v>
      </c>
      <c r="O105" s="1">
        <v>1000000</v>
      </c>
      <c r="Q105" t="s">
        <v>85</v>
      </c>
      <c r="S105" s="1">
        <v>1000000</v>
      </c>
      <c r="U105" t="s">
        <v>163</v>
      </c>
      <c r="W105" s="10">
        <v>12110000</v>
      </c>
      <c r="Y105" t="s">
        <v>236</v>
      </c>
      <c r="Z105" s="1"/>
      <c r="AA105" s="1">
        <v>6516300</v>
      </c>
      <c r="AC105" t="s">
        <v>244</v>
      </c>
      <c r="AD105" s="1"/>
      <c r="AE105" s="1">
        <v>4900000</v>
      </c>
      <c r="AH105" t="s">
        <v>235</v>
      </c>
      <c r="AI105" s="1"/>
      <c r="AJ105" s="1">
        <v>1600000</v>
      </c>
      <c r="AM105" t="s">
        <v>237</v>
      </c>
      <c r="AO105" s="1">
        <v>503000</v>
      </c>
      <c r="AR105" t="s">
        <v>63</v>
      </c>
      <c r="AS105" s="1"/>
      <c r="AT105" s="1">
        <v>317200</v>
      </c>
      <c r="AW105" t="s">
        <v>235</v>
      </c>
      <c r="AX105" s="1"/>
      <c r="AY105" s="1">
        <v>1600000</v>
      </c>
    </row>
    <row r="106" spans="1:51" x14ac:dyDescent="0.25">
      <c r="A106" t="s">
        <v>78</v>
      </c>
      <c r="B106" s="1"/>
      <c r="C106" s="1">
        <v>659600</v>
      </c>
      <c r="E106" t="s">
        <v>85</v>
      </c>
      <c r="G106" s="1">
        <v>1000000</v>
      </c>
      <c r="I106" t="s">
        <v>99</v>
      </c>
      <c r="K106" s="1">
        <v>2000000</v>
      </c>
      <c r="M106" t="s">
        <v>99</v>
      </c>
      <c r="O106" s="1">
        <v>2000000</v>
      </c>
      <c r="Q106" t="s">
        <v>99</v>
      </c>
      <c r="S106" s="1">
        <v>2000000</v>
      </c>
      <c r="U106" t="s">
        <v>85</v>
      </c>
      <c r="W106" s="1">
        <v>1000000</v>
      </c>
      <c r="Y106" t="s">
        <v>237</v>
      </c>
      <c r="AA106" s="1">
        <v>503000</v>
      </c>
      <c r="AC106" t="s">
        <v>244</v>
      </c>
      <c r="AD106" s="1"/>
      <c r="AE106" s="1">
        <v>2000000</v>
      </c>
      <c r="AH106" t="s">
        <v>244</v>
      </c>
      <c r="AI106" s="1"/>
      <c r="AJ106" s="1">
        <v>2000000</v>
      </c>
      <c r="AM106" t="s">
        <v>78</v>
      </c>
      <c r="AN106" s="1"/>
      <c r="AO106" s="1">
        <v>659600</v>
      </c>
      <c r="AR106" t="s">
        <v>66</v>
      </c>
      <c r="AS106" s="1" t="s">
        <v>92</v>
      </c>
      <c r="AT106" s="1">
        <v>300000</v>
      </c>
      <c r="AW106" t="s">
        <v>237</v>
      </c>
      <c r="AY106" s="1">
        <v>503000</v>
      </c>
    </row>
    <row r="107" spans="1:51" x14ac:dyDescent="0.25">
      <c r="A107" t="s">
        <v>163</v>
      </c>
      <c r="C107" s="10">
        <v>12110000</v>
      </c>
      <c r="E107" t="s">
        <v>99</v>
      </c>
      <c r="G107" s="1">
        <v>2000000</v>
      </c>
      <c r="I107" t="s">
        <v>109</v>
      </c>
      <c r="K107" s="1">
        <v>662000</v>
      </c>
      <c r="M107" t="s">
        <v>109</v>
      </c>
      <c r="O107" s="1">
        <v>662000</v>
      </c>
      <c r="Q107" t="s">
        <v>109</v>
      </c>
      <c r="S107" s="1">
        <v>662000</v>
      </c>
      <c r="U107" t="s">
        <v>99</v>
      </c>
      <c r="W107" s="1">
        <v>2000000</v>
      </c>
      <c r="Y107" t="s">
        <v>78</v>
      </c>
      <c r="Z107" s="1"/>
      <c r="AA107" s="1">
        <v>659600</v>
      </c>
      <c r="AC107" t="s">
        <v>245</v>
      </c>
      <c r="AD107" s="1"/>
      <c r="AE107" s="1">
        <v>1450000</v>
      </c>
      <c r="AH107" t="s">
        <v>237</v>
      </c>
      <c r="AJ107" s="1">
        <v>503000</v>
      </c>
      <c r="AM107" t="s">
        <v>163</v>
      </c>
      <c r="AO107" s="10">
        <v>12110000</v>
      </c>
      <c r="AR107" t="s">
        <v>235</v>
      </c>
      <c r="AS107" s="1"/>
      <c r="AT107" s="1">
        <v>1600000</v>
      </c>
      <c r="AW107" t="s">
        <v>78</v>
      </c>
      <c r="AX107" s="1"/>
      <c r="AY107" s="1">
        <v>659600</v>
      </c>
    </row>
    <row r="108" spans="1:51" x14ac:dyDescent="0.25">
      <c r="A108" t="s">
        <v>85</v>
      </c>
      <c r="C108" s="1">
        <v>1000000</v>
      </c>
      <c r="E108" t="s">
        <v>109</v>
      </c>
      <c r="G108" s="1">
        <v>662000</v>
      </c>
      <c r="I108" t="s">
        <v>181</v>
      </c>
      <c r="K108" s="1">
        <v>34340077</v>
      </c>
      <c r="M108" t="s">
        <v>191</v>
      </c>
      <c r="O108" s="1">
        <v>46378640</v>
      </c>
      <c r="Q108" t="s">
        <v>221</v>
      </c>
      <c r="S108" s="1">
        <v>76515860</v>
      </c>
      <c r="U108" t="s">
        <v>233</v>
      </c>
      <c r="W108" s="1">
        <v>700000</v>
      </c>
      <c r="Y108" t="s">
        <v>163</v>
      </c>
      <c r="AA108" s="10">
        <v>12110000</v>
      </c>
      <c r="AC108" t="s">
        <v>246</v>
      </c>
      <c r="AD108" s="1"/>
      <c r="AE108" s="1">
        <v>900000</v>
      </c>
      <c r="AH108" t="s">
        <v>78</v>
      </c>
      <c r="AI108" s="1"/>
      <c r="AJ108" s="1">
        <v>659600</v>
      </c>
      <c r="AM108" t="s">
        <v>99</v>
      </c>
      <c r="AO108" s="1">
        <v>2000000</v>
      </c>
      <c r="AR108" t="s">
        <v>244</v>
      </c>
      <c r="AS108" s="1"/>
      <c r="AT108" s="1">
        <v>2000000</v>
      </c>
      <c r="AW108" t="s">
        <v>99</v>
      </c>
      <c r="AY108" s="1">
        <v>2000000</v>
      </c>
    </row>
    <row r="109" spans="1:51" x14ac:dyDescent="0.25">
      <c r="A109" t="s">
        <v>99</v>
      </c>
      <c r="C109" s="1">
        <v>2000000</v>
      </c>
      <c r="E109" t="s">
        <v>179</v>
      </c>
      <c r="G109" s="1">
        <v>2859000</v>
      </c>
      <c r="I109" t="s">
        <v>164</v>
      </c>
      <c r="K109" s="1">
        <v>328500</v>
      </c>
      <c r="M109" t="s">
        <v>189</v>
      </c>
      <c r="O109" s="1">
        <v>5000000</v>
      </c>
      <c r="Q109" t="s">
        <v>189</v>
      </c>
      <c r="S109" s="1">
        <v>3500000</v>
      </c>
      <c r="U109" t="s">
        <v>109</v>
      </c>
      <c r="W109" s="1">
        <v>662000</v>
      </c>
      <c r="Y109" t="s">
        <v>85</v>
      </c>
      <c r="AA109" s="1">
        <v>1000000</v>
      </c>
      <c r="AC109" t="s">
        <v>247</v>
      </c>
      <c r="AD109" s="1"/>
      <c r="AE109" s="1">
        <v>850000</v>
      </c>
      <c r="AH109" t="s">
        <v>163</v>
      </c>
      <c r="AJ109" s="10">
        <v>12110000</v>
      </c>
      <c r="AM109" t="s">
        <v>233</v>
      </c>
      <c r="AO109" s="1">
        <v>700000</v>
      </c>
      <c r="AR109" t="s">
        <v>237</v>
      </c>
      <c r="AT109" s="1">
        <v>503000</v>
      </c>
      <c r="AW109" t="s">
        <v>233</v>
      </c>
      <c r="AY109" s="1">
        <v>700000</v>
      </c>
    </row>
    <row r="110" spans="1:51" x14ac:dyDescent="0.25">
      <c r="A110" t="s">
        <v>109</v>
      </c>
      <c r="C110" s="1">
        <v>662000</v>
      </c>
      <c r="E110" t="s">
        <v>177</v>
      </c>
      <c r="G110" s="1">
        <v>1000000</v>
      </c>
      <c r="I110" t="s">
        <v>186</v>
      </c>
      <c r="K110" s="1">
        <v>896800</v>
      </c>
      <c r="M110" t="s">
        <v>164</v>
      </c>
      <c r="O110" s="1">
        <v>328500</v>
      </c>
      <c r="Q110" t="s">
        <v>233</v>
      </c>
      <c r="S110" s="1">
        <v>700000</v>
      </c>
      <c r="U110" t="s">
        <v>164</v>
      </c>
      <c r="W110" s="1">
        <v>328500</v>
      </c>
      <c r="Y110" t="s">
        <v>99</v>
      </c>
      <c r="AA110" s="1">
        <v>2000000</v>
      </c>
      <c r="AC110" t="s">
        <v>238</v>
      </c>
      <c r="AD110" s="1"/>
      <c r="AE110" s="1">
        <v>0</v>
      </c>
      <c r="AH110" t="s">
        <v>99</v>
      </c>
      <c r="AJ110" s="1">
        <v>2000000</v>
      </c>
      <c r="AM110" t="s">
        <v>109</v>
      </c>
      <c r="AO110" s="1">
        <v>662000</v>
      </c>
      <c r="AR110" t="s">
        <v>78</v>
      </c>
      <c r="AS110" s="1"/>
      <c r="AT110" s="1">
        <v>659600</v>
      </c>
      <c r="AW110" t="s">
        <v>109</v>
      </c>
      <c r="AY110" s="1">
        <v>662000</v>
      </c>
    </row>
    <row r="111" spans="1:51" x14ac:dyDescent="0.25">
      <c r="A111" t="s">
        <v>169</v>
      </c>
      <c r="C111" s="1">
        <v>345000</v>
      </c>
      <c r="E111" t="s">
        <v>164</v>
      </c>
      <c r="G111" s="1">
        <v>328500</v>
      </c>
      <c r="I111" t="s">
        <v>182</v>
      </c>
      <c r="K111" s="1">
        <v>1244850</v>
      </c>
      <c r="M111" t="s">
        <v>233</v>
      </c>
      <c r="O111" s="1">
        <v>700000</v>
      </c>
      <c r="Q111" t="s">
        <v>164</v>
      </c>
      <c r="S111" s="1">
        <v>328500</v>
      </c>
      <c r="W111" s="1">
        <f>SUM(W98:W110)</f>
        <v>145594613</v>
      </c>
      <c r="Y111" t="s">
        <v>233</v>
      </c>
      <c r="AA111" s="1">
        <v>700000</v>
      </c>
      <c r="AC111" t="s">
        <v>237</v>
      </c>
      <c r="AE111" s="1">
        <v>503000</v>
      </c>
      <c r="AH111" t="s">
        <v>233</v>
      </c>
      <c r="AJ111" s="1">
        <v>700000</v>
      </c>
      <c r="AM111" t="s">
        <v>259</v>
      </c>
      <c r="AO111" s="1">
        <v>35429500</v>
      </c>
      <c r="AR111" t="s">
        <v>163</v>
      </c>
      <c r="AT111" s="10">
        <v>12110000</v>
      </c>
      <c r="AW111" t="s">
        <v>290</v>
      </c>
      <c r="AY111" s="1">
        <v>5300000</v>
      </c>
    </row>
    <row r="112" spans="1:51" ht="15.75" customHeight="1" x14ac:dyDescent="0.25">
      <c r="A112" t="s">
        <v>168</v>
      </c>
      <c r="C112" s="1">
        <v>170000</v>
      </c>
      <c r="G112" s="1">
        <f>SUM(G97:G111)</f>
        <v>107747522</v>
      </c>
      <c r="K112" s="1">
        <f>SUM(K97:K111)</f>
        <v>133223320</v>
      </c>
      <c r="M112" t="s">
        <v>182</v>
      </c>
      <c r="O112" s="1">
        <v>1244850</v>
      </c>
      <c r="Q112" t="s">
        <v>182</v>
      </c>
      <c r="S112" s="1">
        <v>1244850</v>
      </c>
      <c r="W112" s="3">
        <f>W95-W111</f>
        <v>201420025</v>
      </c>
      <c r="Y112" t="s">
        <v>109</v>
      </c>
      <c r="AA112" s="1">
        <v>662000</v>
      </c>
      <c r="AC112" t="s">
        <v>78</v>
      </c>
      <c r="AD112" s="1"/>
      <c r="AE112" s="1">
        <v>659600</v>
      </c>
      <c r="AH112" t="s">
        <v>109</v>
      </c>
      <c r="AJ112" s="1">
        <v>662000</v>
      </c>
      <c r="AO112" s="1">
        <f>SUM(AO97:AO111)</f>
        <v>158445093</v>
      </c>
      <c r="AR112" t="s">
        <v>99</v>
      </c>
      <c r="AT112" s="1">
        <v>2000000</v>
      </c>
      <c r="AW112" t="s">
        <v>259</v>
      </c>
      <c r="AY112" s="1">
        <v>35429500</v>
      </c>
    </row>
    <row r="113" spans="1:51" ht="15.75" customHeight="1" x14ac:dyDescent="0.25">
      <c r="A113" t="s">
        <v>164</v>
      </c>
      <c r="C113" s="1">
        <v>328500</v>
      </c>
      <c r="G113" s="3">
        <f>G94-G112</f>
        <v>182746971.24000001</v>
      </c>
      <c r="K113" s="3">
        <f>K94-K112</f>
        <v>195652649.64999998</v>
      </c>
      <c r="O113" s="1">
        <f>SUM(O97:O112)</f>
        <v>150065083</v>
      </c>
      <c r="S113" s="1">
        <f>SUM(S97:S112)</f>
        <v>178201803</v>
      </c>
      <c r="X113" s="1"/>
      <c r="Y113" t="s">
        <v>164</v>
      </c>
      <c r="AA113" s="1">
        <v>328500</v>
      </c>
      <c r="AC113" t="s">
        <v>163</v>
      </c>
      <c r="AE113" s="10">
        <v>12110000</v>
      </c>
      <c r="AH113" t="s">
        <v>164</v>
      </c>
      <c r="AJ113" s="1">
        <v>1028500</v>
      </c>
      <c r="AM113" t="s">
        <v>92</v>
      </c>
      <c r="AO113" s="3">
        <f>AO94-AO112</f>
        <v>191058519</v>
      </c>
      <c r="AR113" t="s">
        <v>233</v>
      </c>
      <c r="AT113" s="1">
        <v>700000</v>
      </c>
      <c r="AY113" s="1">
        <f>SUM(AY99:AY112)</f>
        <v>135225093</v>
      </c>
    </row>
    <row r="114" spans="1:51" ht="15.75" customHeight="1" x14ac:dyDescent="0.25">
      <c r="C114" s="1">
        <f>SUM(C99:C113)</f>
        <v>142915808.55000001</v>
      </c>
      <c r="O114" s="3">
        <f>O94-O113</f>
        <v>197601695.74000001</v>
      </c>
      <c r="S114" s="3">
        <f>S94-S113</f>
        <v>192104604</v>
      </c>
      <c r="AA114" s="1">
        <f>SUM(AA99:AA113)</f>
        <v>103432393</v>
      </c>
      <c r="AC114" t="s">
        <v>85</v>
      </c>
      <c r="AE114" s="1">
        <v>1000000</v>
      </c>
      <c r="AJ114" s="1">
        <f>SUM(AJ99:AJ113)</f>
        <v>109914253</v>
      </c>
      <c r="AR114" t="s">
        <v>275</v>
      </c>
      <c r="AT114" s="1">
        <v>4000000</v>
      </c>
      <c r="AW114" t="s">
        <v>92</v>
      </c>
      <c r="AY114" s="3">
        <f>AY96-AY113</f>
        <v>195318217.32999998</v>
      </c>
    </row>
    <row r="115" spans="1:51" x14ac:dyDescent="0.25">
      <c r="C115" s="3">
        <f>C97-C114</f>
        <v>149851084.44999999</v>
      </c>
      <c r="AA115" s="3">
        <f>AA96-AA114</f>
        <v>207669541</v>
      </c>
      <c r="AC115" t="s">
        <v>99</v>
      </c>
      <c r="AE115" s="1">
        <v>2000000</v>
      </c>
      <c r="AH115" t="s">
        <v>92</v>
      </c>
      <c r="AJ115" s="3">
        <f>AJ96-AJ114</f>
        <v>226090314</v>
      </c>
      <c r="AR115" t="s">
        <v>109</v>
      </c>
      <c r="AT115" s="1">
        <v>662000</v>
      </c>
    </row>
    <row r="116" spans="1:51" x14ac:dyDescent="0.25">
      <c r="AC116" t="s">
        <v>233</v>
      </c>
      <c r="AE116" s="1">
        <v>700000</v>
      </c>
      <c r="AR116" t="s">
        <v>259</v>
      </c>
      <c r="AT116" s="1">
        <v>35429500</v>
      </c>
    </row>
    <row r="117" spans="1:51" x14ac:dyDescent="0.25">
      <c r="AC117" t="s">
        <v>109</v>
      </c>
      <c r="AE117" s="1">
        <v>662000</v>
      </c>
      <c r="AT117" s="1">
        <f>SUM(AT101:AT116)</f>
        <v>191206153</v>
      </c>
    </row>
    <row r="118" spans="1:51" x14ac:dyDescent="0.25">
      <c r="AC118" t="s">
        <v>164</v>
      </c>
      <c r="AE118" s="1">
        <v>1028500</v>
      </c>
      <c r="AR118" t="s">
        <v>92</v>
      </c>
      <c r="AT118" s="3">
        <f>AT98-AT117</f>
        <v>196856280.09000003</v>
      </c>
    </row>
    <row r="119" spans="1:51" x14ac:dyDescent="0.25">
      <c r="AE119" s="1">
        <f>SUM(AE99:AE118)</f>
        <v>107716093</v>
      </c>
    </row>
    <row r="120" spans="1:51" x14ac:dyDescent="0.25">
      <c r="AE120" s="3">
        <f>AE96-AE119</f>
        <v>212204601</v>
      </c>
    </row>
  </sheetData>
  <mergeCells count="72">
    <mergeCell ref="AR54:AT54"/>
    <mergeCell ref="AR2:AT2"/>
    <mergeCell ref="AR3:AT3"/>
    <mergeCell ref="AR20:AT20"/>
    <mergeCell ref="AR21:AT21"/>
    <mergeCell ref="AR53:AT53"/>
    <mergeCell ref="AM54:AO54"/>
    <mergeCell ref="AM2:AO2"/>
    <mergeCell ref="AM3:AO3"/>
    <mergeCell ref="AM20:AO20"/>
    <mergeCell ref="AM21:AO21"/>
    <mergeCell ref="AM53:AO53"/>
    <mergeCell ref="AH54:AJ54"/>
    <mergeCell ref="AH2:AJ2"/>
    <mergeCell ref="AH3:AJ3"/>
    <mergeCell ref="AH20:AJ20"/>
    <mergeCell ref="AH21:AJ21"/>
    <mergeCell ref="AH53:AJ53"/>
    <mergeCell ref="AC54:AE54"/>
    <mergeCell ref="AC2:AE2"/>
    <mergeCell ref="AC3:AE3"/>
    <mergeCell ref="AC20:AE20"/>
    <mergeCell ref="AC21:AE21"/>
    <mergeCell ref="AC53:AE53"/>
    <mergeCell ref="Y54:AA54"/>
    <mergeCell ref="Y2:AA2"/>
    <mergeCell ref="Y3:AA3"/>
    <mergeCell ref="Y20:AA20"/>
    <mergeCell ref="Y21:AA21"/>
    <mergeCell ref="Y53:AA53"/>
    <mergeCell ref="U54:W54"/>
    <mergeCell ref="U2:W2"/>
    <mergeCell ref="U3:W3"/>
    <mergeCell ref="U20:W20"/>
    <mergeCell ref="U21:W21"/>
    <mergeCell ref="U53:W53"/>
    <mergeCell ref="Q54:S54"/>
    <mergeCell ref="Q2:S2"/>
    <mergeCell ref="Q3:S3"/>
    <mergeCell ref="Q20:S20"/>
    <mergeCell ref="Q21:S21"/>
    <mergeCell ref="Q53:S53"/>
    <mergeCell ref="M54:O54"/>
    <mergeCell ref="M2:O2"/>
    <mergeCell ref="M3:O3"/>
    <mergeCell ref="M20:O20"/>
    <mergeCell ref="M21:O21"/>
    <mergeCell ref="M53:O53"/>
    <mergeCell ref="A54:C54"/>
    <mergeCell ref="A2:C2"/>
    <mergeCell ref="A3:C3"/>
    <mergeCell ref="A20:C20"/>
    <mergeCell ref="A21:C21"/>
    <mergeCell ref="A53:C53"/>
    <mergeCell ref="E54:G54"/>
    <mergeCell ref="E2:G2"/>
    <mergeCell ref="E3:G3"/>
    <mergeCell ref="E20:G20"/>
    <mergeCell ref="E21:G21"/>
    <mergeCell ref="E53:G53"/>
    <mergeCell ref="I54:K54"/>
    <mergeCell ref="I2:K2"/>
    <mergeCell ref="I3:K3"/>
    <mergeCell ref="I20:K20"/>
    <mergeCell ref="I21:K21"/>
    <mergeCell ref="I53:K53"/>
    <mergeCell ref="AW54:AY54"/>
    <mergeCell ref="AW1:AY1"/>
    <mergeCell ref="AW2:AY2"/>
    <mergeCell ref="AW20:AY20"/>
    <mergeCell ref="AW21:AY21"/>
    <mergeCell ref="AW53:AY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D632-2422-47C8-AFFA-52EB75E5F1C7}">
  <sheetPr>
    <pageSetUpPr fitToPage="1"/>
  </sheetPr>
  <dimension ref="A2:AU123"/>
  <sheetViews>
    <sheetView topLeftCell="AL5" zoomScale="105" zoomScaleNormal="100" workbookViewId="0">
      <selection activeCell="AU88" sqref="AU88"/>
    </sheetView>
  </sheetViews>
  <sheetFormatPr defaultRowHeight="15" x14ac:dyDescent="0.25"/>
  <cols>
    <col min="1" max="1" width="23.5703125" bestFit="1" customWidth="1"/>
    <col min="2" max="3" width="17.28515625" bestFit="1" customWidth="1"/>
    <col min="5" max="5" width="23.5703125" bestFit="1" customWidth="1"/>
    <col min="6" max="7" width="17.28515625" bestFit="1" customWidth="1"/>
    <col min="9" max="9" width="22.7109375" bestFit="1" customWidth="1"/>
    <col min="10" max="11" width="17.28515625" bestFit="1" customWidth="1"/>
    <col min="12" max="13" width="18" bestFit="1" customWidth="1"/>
    <col min="14" max="14" width="16.85546875" bestFit="1" customWidth="1"/>
    <col min="15" max="15" width="17.28515625" bestFit="1" customWidth="1"/>
    <col min="17" max="17" width="22.7109375" bestFit="1" customWidth="1"/>
    <col min="18" max="19" width="17.28515625" bestFit="1" customWidth="1"/>
    <col min="21" max="21" width="22.7109375" bestFit="1" customWidth="1"/>
    <col min="22" max="23" width="17.28515625" bestFit="1" customWidth="1"/>
    <col min="25" max="25" width="22.7109375" bestFit="1" customWidth="1"/>
    <col min="26" max="27" width="17.28515625" bestFit="1" customWidth="1"/>
    <col min="29" max="29" width="22.7109375" bestFit="1" customWidth="1"/>
    <col min="30" max="31" width="17.28515625" bestFit="1" customWidth="1"/>
    <col min="33" max="33" width="22.7109375" bestFit="1" customWidth="1"/>
    <col min="34" max="35" width="17.28515625" bestFit="1" customWidth="1"/>
    <col min="37" max="37" width="22.7109375" bestFit="1" customWidth="1"/>
    <col min="38" max="39" width="17.28515625" bestFit="1" customWidth="1"/>
    <col min="41" max="41" width="22.7109375" bestFit="1" customWidth="1"/>
    <col min="42" max="43" width="17.28515625" bestFit="1" customWidth="1"/>
    <col min="45" max="45" width="22.7109375" bestFit="1" customWidth="1"/>
    <col min="46" max="47" width="17.28515625" bestFit="1" customWidth="1"/>
  </cols>
  <sheetData>
    <row r="2" spans="1:47" x14ac:dyDescent="0.25">
      <c r="A2" s="42" t="s">
        <v>71</v>
      </c>
      <c r="B2" s="42"/>
      <c r="C2" s="42"/>
      <c r="E2" s="42" t="s">
        <v>71</v>
      </c>
      <c r="F2" s="42"/>
      <c r="G2" s="42"/>
      <c r="I2" s="42" t="s">
        <v>71</v>
      </c>
      <c r="J2" s="42"/>
      <c r="K2" s="42"/>
      <c r="M2" s="42" t="s">
        <v>71</v>
      </c>
      <c r="N2" s="42"/>
      <c r="O2" s="42"/>
      <c r="Q2" s="42" t="s">
        <v>71</v>
      </c>
      <c r="R2" s="42"/>
      <c r="S2" s="42"/>
      <c r="U2" s="42" t="s">
        <v>71</v>
      </c>
      <c r="V2" s="42"/>
      <c r="W2" s="42"/>
      <c r="Y2" s="42" t="s">
        <v>71</v>
      </c>
      <c r="Z2" s="42"/>
      <c r="AA2" s="42"/>
      <c r="AC2" s="42" t="s">
        <v>71</v>
      </c>
      <c r="AD2" s="42"/>
      <c r="AE2" s="42"/>
      <c r="AG2" s="42" t="s">
        <v>71</v>
      </c>
      <c r="AH2" s="42"/>
      <c r="AI2" s="42"/>
      <c r="AK2" s="42" t="s">
        <v>71</v>
      </c>
      <c r="AL2" s="42"/>
      <c r="AM2" s="42"/>
      <c r="AO2" s="42" t="s">
        <v>71</v>
      </c>
      <c r="AP2" s="42"/>
      <c r="AQ2" s="42"/>
      <c r="AS2" s="42" t="s">
        <v>71</v>
      </c>
      <c r="AT2" s="42"/>
      <c r="AU2" s="42"/>
    </row>
    <row r="3" spans="1:47" x14ac:dyDescent="0.25">
      <c r="A3" s="42" t="s">
        <v>291</v>
      </c>
      <c r="B3" s="42"/>
      <c r="C3" s="42"/>
      <c r="E3" s="42" t="s">
        <v>294</v>
      </c>
      <c r="F3" s="42"/>
      <c r="G3" s="42"/>
      <c r="I3" s="42" t="s">
        <v>304</v>
      </c>
      <c r="J3" s="42"/>
      <c r="K3" s="42"/>
      <c r="M3" s="42" t="s">
        <v>187</v>
      </c>
      <c r="N3" s="42"/>
      <c r="O3" s="42"/>
      <c r="Q3" s="42" t="s">
        <v>72</v>
      </c>
      <c r="R3" s="42"/>
      <c r="S3" s="42"/>
      <c r="U3" s="42" t="s">
        <v>331</v>
      </c>
      <c r="V3" s="42"/>
      <c r="W3" s="42"/>
      <c r="Y3" s="42" t="s">
        <v>335</v>
      </c>
      <c r="Z3" s="42"/>
      <c r="AA3" s="42"/>
      <c r="AC3" s="42" t="s">
        <v>101</v>
      </c>
      <c r="AD3" s="42"/>
      <c r="AE3" s="42"/>
      <c r="AG3" s="42" t="s">
        <v>104</v>
      </c>
      <c r="AH3" s="42"/>
      <c r="AI3" s="42"/>
      <c r="AK3" s="42" t="s">
        <v>148</v>
      </c>
      <c r="AL3" s="42"/>
      <c r="AM3" s="42"/>
      <c r="AO3" s="42" t="s">
        <v>157</v>
      </c>
      <c r="AP3" s="42"/>
      <c r="AQ3" s="42"/>
      <c r="AS3" s="42" t="s">
        <v>161</v>
      </c>
      <c r="AT3" s="42"/>
      <c r="AU3" s="42"/>
    </row>
    <row r="4" spans="1:47" x14ac:dyDescent="0.25">
      <c r="A4" t="s">
        <v>0</v>
      </c>
      <c r="B4" s="1"/>
      <c r="C4" s="1">
        <f>'2024'!AX8</f>
        <v>122651950</v>
      </c>
      <c r="E4" t="s">
        <v>0</v>
      </c>
      <c r="F4" s="1"/>
      <c r="G4" s="1">
        <f>B9</f>
        <v>131675600</v>
      </c>
      <c r="I4" t="s">
        <v>0</v>
      </c>
      <c r="J4" s="1"/>
      <c r="K4" s="1">
        <f>F9</f>
        <v>139361880</v>
      </c>
      <c r="L4" s="1"/>
      <c r="M4" t="s">
        <v>0</v>
      </c>
      <c r="N4" s="1"/>
      <c r="O4" s="1">
        <f>J9</f>
        <v>111633000</v>
      </c>
      <c r="Q4" t="s">
        <v>0</v>
      </c>
      <c r="R4" s="1"/>
      <c r="S4" s="1">
        <f>N9</f>
        <v>86993000</v>
      </c>
      <c r="U4" t="s">
        <v>0</v>
      </c>
      <c r="V4" s="1"/>
      <c r="W4" s="1">
        <f>R9</f>
        <v>134491100</v>
      </c>
      <c r="Y4" t="s">
        <v>0</v>
      </c>
      <c r="Z4" s="1"/>
      <c r="AA4" s="1">
        <f>V9</f>
        <v>105456800</v>
      </c>
      <c r="AC4" t="s">
        <v>0</v>
      </c>
      <c r="AD4" s="1"/>
      <c r="AE4" s="1">
        <f>Z9</f>
        <v>134156060</v>
      </c>
      <c r="AG4" t="s">
        <v>0</v>
      </c>
      <c r="AH4" s="1"/>
      <c r="AI4" s="1">
        <f>AD9</f>
        <v>200668660</v>
      </c>
      <c r="AK4" t="s">
        <v>0</v>
      </c>
      <c r="AL4" s="1"/>
      <c r="AM4" s="1">
        <f>AH9</f>
        <v>162596190</v>
      </c>
      <c r="AO4" t="s">
        <v>0</v>
      </c>
      <c r="AP4" s="1"/>
      <c r="AQ4" s="1">
        <f>AL9</f>
        <v>162871360</v>
      </c>
      <c r="AS4" t="s">
        <v>0</v>
      </c>
      <c r="AT4" s="1"/>
      <c r="AU4" s="1">
        <f>AP9</f>
        <v>179392750</v>
      </c>
    </row>
    <row r="5" spans="1:47" x14ac:dyDescent="0.25">
      <c r="A5" t="s">
        <v>1</v>
      </c>
      <c r="B5" s="1"/>
      <c r="C5" s="1">
        <v>124853410</v>
      </c>
      <c r="E5" t="s">
        <v>1</v>
      </c>
      <c r="F5" s="1"/>
      <c r="G5" s="1">
        <v>101428439</v>
      </c>
      <c r="I5" t="s">
        <v>1</v>
      </c>
      <c r="J5" s="1"/>
      <c r="K5" s="1">
        <v>57596660</v>
      </c>
      <c r="L5" s="10"/>
      <c r="M5" t="s">
        <v>1</v>
      </c>
      <c r="N5" s="1"/>
      <c r="O5" s="1">
        <v>128120230</v>
      </c>
      <c r="Q5" t="s">
        <v>1</v>
      </c>
      <c r="R5" s="1"/>
      <c r="S5" s="1">
        <v>179354850</v>
      </c>
      <c r="U5" t="s">
        <v>1</v>
      </c>
      <c r="V5" s="1"/>
      <c r="W5" s="1">
        <v>172892658</v>
      </c>
      <c r="Y5" t="s">
        <v>1</v>
      </c>
      <c r="Z5" s="1"/>
      <c r="AA5" s="1">
        <v>194843909</v>
      </c>
      <c r="AC5" t="s">
        <v>1</v>
      </c>
      <c r="AD5" s="1"/>
      <c r="AE5" s="1">
        <v>269287184</v>
      </c>
      <c r="AG5" t="s">
        <v>1</v>
      </c>
      <c r="AH5" s="1"/>
      <c r="AI5" s="1">
        <v>122939000</v>
      </c>
      <c r="AK5" t="s">
        <v>1</v>
      </c>
      <c r="AL5" s="1"/>
      <c r="AM5" s="1">
        <v>124487050</v>
      </c>
      <c r="AO5" t="s">
        <v>1</v>
      </c>
      <c r="AP5" s="1"/>
      <c r="AQ5" s="1">
        <v>206010999</v>
      </c>
      <c r="AS5" t="s">
        <v>1</v>
      </c>
      <c r="AU5" s="1">
        <v>63804275</v>
      </c>
    </row>
    <row r="6" spans="1:47" x14ac:dyDescent="0.25">
      <c r="A6" t="s">
        <v>288</v>
      </c>
      <c r="B6" s="1"/>
      <c r="C6" s="1">
        <v>1532000</v>
      </c>
      <c r="E6" t="s">
        <v>288</v>
      </c>
      <c r="F6" s="1"/>
      <c r="G6" s="1">
        <v>691500</v>
      </c>
      <c r="I6" t="s">
        <v>288</v>
      </c>
      <c r="J6" s="1"/>
      <c r="K6" s="1">
        <v>1027500</v>
      </c>
      <c r="L6" s="10"/>
      <c r="M6" t="s">
        <v>288</v>
      </c>
      <c r="N6" s="1"/>
      <c r="O6" s="1">
        <v>680600</v>
      </c>
      <c r="Q6" t="s">
        <v>288</v>
      </c>
      <c r="R6" s="1"/>
      <c r="S6" s="1">
        <v>1339620</v>
      </c>
      <c r="U6" t="s">
        <v>288</v>
      </c>
      <c r="V6" s="1"/>
      <c r="W6" s="1">
        <v>1299200</v>
      </c>
      <c r="Y6" t="s">
        <v>288</v>
      </c>
      <c r="Z6" s="1"/>
      <c r="AA6" s="1">
        <v>2228500</v>
      </c>
      <c r="AC6" t="s">
        <v>288</v>
      </c>
      <c r="AD6" s="1"/>
      <c r="AE6" s="1">
        <v>3519000</v>
      </c>
      <c r="AG6" t="s">
        <v>288</v>
      </c>
      <c r="AH6" s="1"/>
      <c r="AI6" s="1">
        <v>7368020</v>
      </c>
      <c r="AK6" t="s">
        <v>288</v>
      </c>
      <c r="AL6" s="1"/>
      <c r="AM6" s="1">
        <v>1883020</v>
      </c>
      <c r="AO6" t="s">
        <v>288</v>
      </c>
      <c r="AP6" s="1"/>
      <c r="AQ6" s="1">
        <v>1824500</v>
      </c>
      <c r="AS6" t="s">
        <v>288</v>
      </c>
      <c r="AT6" s="1"/>
      <c r="AU6" s="1">
        <v>677220</v>
      </c>
    </row>
    <row r="7" spans="1:47" x14ac:dyDescent="0.25">
      <c r="A7" t="s">
        <v>2</v>
      </c>
      <c r="B7" s="1"/>
      <c r="C7" s="1">
        <v>1560000</v>
      </c>
      <c r="E7" t="s">
        <v>2</v>
      </c>
      <c r="F7" s="1"/>
      <c r="G7" s="1">
        <v>1140000</v>
      </c>
      <c r="I7" t="s">
        <v>2</v>
      </c>
      <c r="J7" s="1"/>
      <c r="K7" s="1">
        <v>609500</v>
      </c>
      <c r="L7" s="10"/>
      <c r="M7" t="s">
        <v>2</v>
      </c>
      <c r="N7" s="1"/>
      <c r="O7" s="1">
        <v>1755000</v>
      </c>
      <c r="Q7" t="s">
        <v>2</v>
      </c>
      <c r="R7" s="1"/>
      <c r="S7" s="1">
        <v>1115000</v>
      </c>
      <c r="U7" t="s">
        <v>2</v>
      </c>
      <c r="V7" s="1"/>
      <c r="W7" s="1">
        <v>1744000</v>
      </c>
      <c r="Y7" t="s">
        <v>2</v>
      </c>
      <c r="Z7" s="1"/>
      <c r="AA7" s="1">
        <v>3252000</v>
      </c>
      <c r="AC7" t="s">
        <v>2</v>
      </c>
      <c r="AD7" s="1"/>
      <c r="AE7" s="1">
        <v>3857000</v>
      </c>
      <c r="AG7" t="s">
        <v>2</v>
      </c>
      <c r="AH7" s="1"/>
      <c r="AI7" s="1">
        <v>2910500</v>
      </c>
      <c r="AK7" t="s">
        <v>2</v>
      </c>
      <c r="AL7" s="1"/>
      <c r="AM7" s="1">
        <v>1850500</v>
      </c>
      <c r="AO7" t="s">
        <v>2</v>
      </c>
      <c r="AP7" s="1"/>
      <c r="AQ7" s="1">
        <v>4226500</v>
      </c>
      <c r="AS7" t="s">
        <v>2</v>
      </c>
      <c r="AT7" s="1"/>
      <c r="AU7" s="1">
        <v>425000</v>
      </c>
    </row>
    <row r="8" spans="1:47" x14ac:dyDescent="0.25">
      <c r="B8" s="1"/>
      <c r="C8" s="1">
        <f>SUM(C4:C7)</f>
        <v>250597360</v>
      </c>
      <c r="F8" s="1"/>
      <c r="G8" s="1">
        <f>SUM(G4:G7)</f>
        <v>234935539</v>
      </c>
      <c r="J8" s="1"/>
      <c r="K8" s="1">
        <f>SUM(K4:K7)</f>
        <v>198595540</v>
      </c>
      <c r="L8" s="1"/>
      <c r="N8" s="1"/>
      <c r="O8" s="1">
        <f>SUM(O4:O7)</f>
        <v>242188830</v>
      </c>
      <c r="R8" s="1"/>
      <c r="S8" s="1">
        <f>SUM(S4:S7)</f>
        <v>268802470</v>
      </c>
      <c r="V8" s="1"/>
      <c r="W8" s="1">
        <f>SUM(W4:W7)</f>
        <v>310426958</v>
      </c>
      <c r="Z8" s="1"/>
      <c r="AA8" s="1">
        <f>SUM(AA4:AA7)</f>
        <v>305781209</v>
      </c>
      <c r="AD8" s="1"/>
      <c r="AE8" s="1">
        <f>SUM(AE4:AE7)</f>
        <v>410819244</v>
      </c>
      <c r="AH8" s="1"/>
      <c r="AI8" s="1">
        <f>SUM(AI4:AI7)</f>
        <v>333886180</v>
      </c>
      <c r="AL8" s="1"/>
      <c r="AM8" s="1">
        <f>SUM(AM4:AM7)</f>
        <v>290816760</v>
      </c>
      <c r="AP8" s="1"/>
      <c r="AQ8" s="1">
        <f>SUM(AQ4:AQ7)</f>
        <v>374933359</v>
      </c>
      <c r="AT8" s="1"/>
      <c r="AU8" s="1">
        <f>SUM(AU4:AU7)</f>
        <v>244299245</v>
      </c>
    </row>
    <row r="9" spans="1:47" x14ac:dyDescent="0.25">
      <c r="A9" t="s">
        <v>3</v>
      </c>
      <c r="B9" s="1">
        <v>131675600</v>
      </c>
      <c r="C9" s="1"/>
      <c r="E9" t="s">
        <v>3</v>
      </c>
      <c r="F9" s="1">
        <v>139361880</v>
      </c>
      <c r="G9" s="1"/>
      <c r="I9" t="s">
        <v>3</v>
      </c>
      <c r="J9" s="1">
        <v>111633000</v>
      </c>
      <c r="K9" s="1"/>
      <c r="L9" s="10"/>
      <c r="M9" t="s">
        <v>3</v>
      </c>
      <c r="N9" s="1">
        <f>Stock!CA102</f>
        <v>86993000</v>
      </c>
      <c r="O9" s="1"/>
      <c r="Q9" t="s">
        <v>3</v>
      </c>
      <c r="R9" s="1">
        <f>Stock!CH103</f>
        <v>134491100</v>
      </c>
      <c r="S9" s="1"/>
      <c r="U9" t="s">
        <v>3</v>
      </c>
      <c r="V9" s="1">
        <f>Stock!CO98</f>
        <v>105456800</v>
      </c>
      <c r="W9" s="1"/>
      <c r="Y9" t="s">
        <v>3</v>
      </c>
      <c r="Z9" s="1">
        <f>Stock!CV110</f>
        <v>134156060</v>
      </c>
      <c r="AA9" s="1"/>
      <c r="AC9" t="s">
        <v>3</v>
      </c>
      <c r="AD9" s="1">
        <f>Stock!DC123</f>
        <v>200668660</v>
      </c>
      <c r="AE9" s="1"/>
      <c r="AG9" t="s">
        <v>3</v>
      </c>
      <c r="AH9" s="1">
        <f>Stock!DJ128</f>
        <v>162596190</v>
      </c>
      <c r="AI9" s="1"/>
      <c r="AK9" t="s">
        <v>3</v>
      </c>
      <c r="AL9" s="1">
        <f>Stock!DQ128</f>
        <v>162871360</v>
      </c>
      <c r="AM9" s="1"/>
      <c r="AO9" t="s">
        <v>3</v>
      </c>
      <c r="AP9" s="1">
        <f>Stock!DX148</f>
        <v>179392750</v>
      </c>
      <c r="AQ9" s="1"/>
      <c r="AS9" t="s">
        <v>3</v>
      </c>
      <c r="AT9" s="1">
        <f>Stock!EE136</f>
        <v>152704600</v>
      </c>
      <c r="AU9" s="1"/>
    </row>
    <row r="10" spans="1:47" x14ac:dyDescent="0.25">
      <c r="A10" s="2"/>
      <c r="B10" s="3"/>
      <c r="C10" s="3">
        <f>C8-B9</f>
        <v>118921760</v>
      </c>
      <c r="E10" s="2"/>
      <c r="F10" s="3"/>
      <c r="G10" s="3">
        <f>G8-F9</f>
        <v>95573659</v>
      </c>
      <c r="I10" s="2"/>
      <c r="J10" s="3"/>
      <c r="K10" s="3">
        <f>K8-J9</f>
        <v>86962540</v>
      </c>
      <c r="L10" s="3"/>
      <c r="M10" s="2"/>
      <c r="N10" s="3"/>
      <c r="O10" s="3">
        <f>O8-N9</f>
        <v>155195830</v>
      </c>
      <c r="Q10" s="2"/>
      <c r="R10" s="3"/>
      <c r="S10" s="3">
        <f>S8-R9</f>
        <v>134311370</v>
      </c>
      <c r="U10" s="2"/>
      <c r="V10" s="3"/>
      <c r="W10" s="3">
        <f>W8-V9</f>
        <v>204970158</v>
      </c>
      <c r="Y10" s="2"/>
      <c r="Z10" s="3"/>
      <c r="AA10" s="3">
        <f>AA8-Z9</f>
        <v>171625149</v>
      </c>
      <c r="AC10" s="2"/>
      <c r="AD10" s="3"/>
      <c r="AE10" s="3">
        <f>AE8-AD9</f>
        <v>210150584</v>
      </c>
      <c r="AG10" s="2"/>
      <c r="AH10" s="3"/>
      <c r="AI10" s="3">
        <f>AI8-AH9</f>
        <v>171289990</v>
      </c>
      <c r="AK10" s="2"/>
      <c r="AL10" s="3"/>
      <c r="AM10" s="3">
        <f>AM8-AL9</f>
        <v>127945400</v>
      </c>
      <c r="AO10" s="2"/>
      <c r="AP10" s="3"/>
      <c r="AQ10" s="3">
        <f>AQ8-AP9</f>
        <v>195540609</v>
      </c>
      <c r="AS10" s="2"/>
      <c r="AT10" s="3"/>
      <c r="AU10" s="3">
        <f>AU8-AT9</f>
        <v>91594645</v>
      </c>
    </row>
    <row r="11" spans="1:47" x14ac:dyDescent="0.25">
      <c r="B11" s="1"/>
      <c r="C11" s="1"/>
      <c r="F11" s="1"/>
      <c r="G11" s="1"/>
      <c r="J11" s="1"/>
      <c r="K11" s="1"/>
      <c r="N11" s="1"/>
      <c r="O11" s="1"/>
      <c r="R11" s="1"/>
      <c r="S11" s="1"/>
      <c r="V11" s="1"/>
      <c r="W11" s="1"/>
      <c r="Z11" s="1"/>
      <c r="AA11" s="1"/>
      <c r="AD11" s="1"/>
      <c r="AE11" s="1"/>
      <c r="AH11" s="1"/>
      <c r="AI11" s="1"/>
      <c r="AL11" s="1"/>
      <c r="AM11" s="1"/>
      <c r="AP11" s="1"/>
      <c r="AQ11" s="1"/>
      <c r="AT11" s="1"/>
      <c r="AU11" s="1"/>
    </row>
    <row r="12" spans="1:47" x14ac:dyDescent="0.25">
      <c r="A12" s="2" t="s">
        <v>4</v>
      </c>
      <c r="B12" s="3"/>
      <c r="C12" s="3"/>
      <c r="E12" s="2" t="s">
        <v>4</v>
      </c>
      <c r="F12" s="3"/>
      <c r="G12" s="3"/>
      <c r="I12" s="2" t="s">
        <v>4</v>
      </c>
      <c r="J12" s="3"/>
      <c r="K12" s="3"/>
      <c r="L12" s="1"/>
      <c r="M12" s="2" t="s">
        <v>4</v>
      </c>
      <c r="N12" s="3"/>
      <c r="O12" s="3"/>
      <c r="Q12" s="2" t="s">
        <v>4</v>
      </c>
      <c r="R12" s="3"/>
      <c r="S12" s="3"/>
      <c r="U12" s="2" t="s">
        <v>4</v>
      </c>
      <c r="V12" s="3"/>
      <c r="W12" s="3"/>
      <c r="Y12" s="2" t="s">
        <v>4</v>
      </c>
      <c r="Z12" s="3"/>
      <c r="AA12" s="3"/>
      <c r="AC12" s="2" t="s">
        <v>4</v>
      </c>
      <c r="AD12" s="3"/>
      <c r="AE12" s="3"/>
      <c r="AG12" s="2" t="s">
        <v>4</v>
      </c>
      <c r="AH12" s="3"/>
      <c r="AI12" s="3"/>
      <c r="AK12" s="2" t="s">
        <v>4</v>
      </c>
      <c r="AL12" s="3"/>
      <c r="AM12" s="3"/>
      <c r="AO12" s="2" t="s">
        <v>4</v>
      </c>
      <c r="AP12" s="3"/>
      <c r="AQ12" s="3"/>
      <c r="AS12" s="2" t="s">
        <v>4</v>
      </c>
      <c r="AT12" s="3"/>
      <c r="AU12" s="3"/>
    </row>
    <row r="13" spans="1:47" x14ac:dyDescent="0.25">
      <c r="A13" t="s">
        <v>5</v>
      </c>
      <c r="B13" s="1">
        <v>420000</v>
      </c>
      <c r="C13" s="1"/>
      <c r="E13" t="s">
        <v>5</v>
      </c>
      <c r="F13" s="1">
        <v>420000</v>
      </c>
      <c r="G13" s="1"/>
      <c r="I13" t="s">
        <v>5</v>
      </c>
      <c r="J13" s="1">
        <v>420000</v>
      </c>
      <c r="K13" s="1"/>
      <c r="L13" s="1"/>
      <c r="M13" t="s">
        <v>5</v>
      </c>
      <c r="N13" s="1">
        <v>450000</v>
      </c>
      <c r="O13" s="1"/>
      <c r="Q13" t="s">
        <v>5</v>
      </c>
      <c r="R13" s="1">
        <v>450000</v>
      </c>
      <c r="S13" s="1"/>
      <c r="U13" t="s">
        <v>5</v>
      </c>
      <c r="V13" s="1">
        <v>450000</v>
      </c>
      <c r="W13" s="1"/>
      <c r="Y13" t="s">
        <v>5</v>
      </c>
      <c r="Z13" s="1">
        <v>450000</v>
      </c>
      <c r="AA13" s="1"/>
      <c r="AC13" t="s">
        <v>5</v>
      </c>
      <c r="AD13" s="1">
        <v>450000</v>
      </c>
      <c r="AE13" s="1"/>
      <c r="AG13" t="s">
        <v>5</v>
      </c>
      <c r="AH13" s="1">
        <v>450000</v>
      </c>
      <c r="AI13" s="1"/>
      <c r="AK13" t="s">
        <v>5</v>
      </c>
      <c r="AL13" s="1">
        <v>450000</v>
      </c>
      <c r="AM13" s="1"/>
      <c r="AO13" t="s">
        <v>5</v>
      </c>
      <c r="AP13" s="1">
        <v>450000</v>
      </c>
      <c r="AQ13" s="1"/>
      <c r="AS13" t="s">
        <v>5</v>
      </c>
      <c r="AT13" s="1">
        <v>450000</v>
      </c>
      <c r="AU13" s="1"/>
    </row>
    <row r="14" spans="1:47" x14ac:dyDescent="0.25">
      <c r="A14" t="s">
        <v>6</v>
      </c>
      <c r="B14" s="1">
        <v>655811</v>
      </c>
      <c r="C14" s="1"/>
      <c r="E14" t="s">
        <v>6</v>
      </c>
      <c r="F14" s="1">
        <v>575000</v>
      </c>
      <c r="G14" s="1"/>
      <c r="I14" t="s">
        <v>6</v>
      </c>
      <c r="J14" s="1">
        <v>330000</v>
      </c>
      <c r="K14" s="1"/>
      <c r="L14" s="1"/>
      <c r="M14" t="s">
        <v>6</v>
      </c>
      <c r="N14" s="1">
        <v>274420</v>
      </c>
      <c r="O14" s="1"/>
      <c r="Q14" t="s">
        <v>6</v>
      </c>
      <c r="R14" s="1">
        <v>1105000</v>
      </c>
      <c r="S14" s="1"/>
      <c r="U14" t="s">
        <v>6</v>
      </c>
      <c r="V14" s="1">
        <v>1006000</v>
      </c>
      <c r="W14" s="1"/>
      <c r="Y14" t="s">
        <v>6</v>
      </c>
      <c r="Z14" s="1">
        <v>917500</v>
      </c>
      <c r="AA14" s="1"/>
      <c r="AC14" t="s">
        <v>6</v>
      </c>
      <c r="AD14" s="1">
        <v>749000</v>
      </c>
      <c r="AE14" s="1"/>
      <c r="AG14" t="s">
        <v>6</v>
      </c>
      <c r="AH14" s="1">
        <v>639000</v>
      </c>
      <c r="AI14" s="1" t="s">
        <v>92</v>
      </c>
      <c r="AK14" t="s">
        <v>6</v>
      </c>
      <c r="AL14" s="1">
        <v>260000</v>
      </c>
      <c r="AM14" s="1" t="s">
        <v>92</v>
      </c>
      <c r="AO14" t="s">
        <v>6</v>
      </c>
      <c r="AP14" s="1">
        <v>595000</v>
      </c>
      <c r="AQ14" s="1" t="s">
        <v>92</v>
      </c>
      <c r="AS14" t="s">
        <v>6</v>
      </c>
      <c r="AT14" s="1">
        <v>507695</v>
      </c>
      <c r="AU14" s="1" t="s">
        <v>92</v>
      </c>
    </row>
    <row r="15" spans="1:47" x14ac:dyDescent="0.25">
      <c r="A15" t="s">
        <v>7</v>
      </c>
      <c r="B15" s="1">
        <v>0</v>
      </c>
      <c r="C15" s="1"/>
      <c r="E15" t="s">
        <v>7</v>
      </c>
      <c r="F15" s="1">
        <v>0</v>
      </c>
      <c r="G15" s="1"/>
      <c r="I15" t="s">
        <v>7</v>
      </c>
      <c r="J15" s="1">
        <v>0</v>
      </c>
      <c r="K15" s="1"/>
      <c r="M15" t="s">
        <v>7</v>
      </c>
      <c r="N15" s="1">
        <v>0</v>
      </c>
      <c r="O15" s="1"/>
      <c r="Q15" t="s">
        <v>7</v>
      </c>
      <c r="R15" s="1">
        <v>0</v>
      </c>
      <c r="S15" s="1"/>
      <c r="U15" t="s">
        <v>7</v>
      </c>
      <c r="V15" s="1"/>
      <c r="W15" s="1"/>
      <c r="Y15" t="s">
        <v>7</v>
      </c>
      <c r="Z15" s="1"/>
      <c r="AA15" s="1"/>
      <c r="AC15" t="s">
        <v>7</v>
      </c>
      <c r="AD15" s="1"/>
      <c r="AE15" s="1"/>
      <c r="AG15" t="s">
        <v>7</v>
      </c>
      <c r="AH15" s="1"/>
      <c r="AI15" s="1"/>
      <c r="AK15" t="s">
        <v>383</v>
      </c>
      <c r="AL15" s="1">
        <v>529120</v>
      </c>
      <c r="AM15" s="1"/>
      <c r="AO15" t="s">
        <v>383</v>
      </c>
      <c r="AP15" s="1">
        <v>171000</v>
      </c>
      <c r="AQ15" s="1"/>
      <c r="AS15" t="s">
        <v>383</v>
      </c>
      <c r="AT15" s="1"/>
      <c r="AU15" s="1"/>
    </row>
    <row r="16" spans="1:47" x14ac:dyDescent="0.25">
      <c r="A16" t="s">
        <v>8</v>
      </c>
      <c r="B16" s="1">
        <v>377800</v>
      </c>
      <c r="C16" s="1"/>
      <c r="E16" t="s">
        <v>8</v>
      </c>
      <c r="F16" s="1">
        <v>981500</v>
      </c>
      <c r="G16" s="1"/>
      <c r="I16" t="s">
        <v>8</v>
      </c>
      <c r="J16" s="1">
        <v>48000</v>
      </c>
      <c r="K16" s="1"/>
      <c r="L16" s="1"/>
      <c r="M16" t="s">
        <v>8</v>
      </c>
      <c r="N16" s="1">
        <v>370000</v>
      </c>
      <c r="O16" s="1"/>
      <c r="Q16" t="s">
        <v>8</v>
      </c>
      <c r="R16" s="1">
        <v>1058000</v>
      </c>
      <c r="S16" s="1"/>
      <c r="U16" t="s">
        <v>8</v>
      </c>
      <c r="V16" s="1">
        <v>1378000</v>
      </c>
      <c r="W16" s="1"/>
      <c r="Y16" t="s">
        <v>8</v>
      </c>
      <c r="Z16" s="1">
        <v>617000</v>
      </c>
      <c r="AA16" s="1"/>
      <c r="AC16" t="s">
        <v>8</v>
      </c>
      <c r="AD16" s="1">
        <v>309100</v>
      </c>
      <c r="AE16" s="1"/>
      <c r="AG16" t="s">
        <v>8</v>
      </c>
      <c r="AH16" s="1">
        <v>129500</v>
      </c>
      <c r="AI16" s="1"/>
      <c r="AK16" t="s">
        <v>8</v>
      </c>
      <c r="AL16" s="1">
        <v>473000</v>
      </c>
      <c r="AM16" s="1"/>
      <c r="AO16" t="s">
        <v>8</v>
      </c>
      <c r="AP16" s="1">
        <v>300900</v>
      </c>
      <c r="AQ16" s="1"/>
      <c r="AS16" t="s">
        <v>8</v>
      </c>
      <c r="AT16" s="1">
        <v>465300</v>
      </c>
      <c r="AU16" s="1"/>
    </row>
    <row r="17" spans="1:47" x14ac:dyDescent="0.25">
      <c r="A17" t="s">
        <v>9</v>
      </c>
      <c r="B17" s="1">
        <v>110000</v>
      </c>
      <c r="C17" s="1"/>
      <c r="E17" t="s">
        <v>9</v>
      </c>
      <c r="F17" s="1">
        <v>110000</v>
      </c>
      <c r="G17" s="1"/>
      <c r="I17" t="s">
        <v>9</v>
      </c>
      <c r="J17" s="1">
        <v>110000</v>
      </c>
      <c r="K17" s="1"/>
      <c r="M17" t="s">
        <v>9</v>
      </c>
      <c r="N17" s="1">
        <v>110000</v>
      </c>
      <c r="O17" s="1"/>
      <c r="Q17" t="s">
        <v>9</v>
      </c>
      <c r="R17" s="1">
        <v>110000</v>
      </c>
      <c r="S17" s="1"/>
      <c r="U17" t="s">
        <v>9</v>
      </c>
      <c r="V17" s="1">
        <v>110000</v>
      </c>
      <c r="W17" s="1"/>
      <c r="Y17" t="s">
        <v>9</v>
      </c>
      <c r="Z17" s="1">
        <v>110000</v>
      </c>
      <c r="AA17" s="1"/>
      <c r="AC17" t="s">
        <v>9</v>
      </c>
      <c r="AD17" s="1">
        <v>110000</v>
      </c>
      <c r="AE17" s="1"/>
      <c r="AG17" t="s">
        <v>9</v>
      </c>
      <c r="AH17" s="1">
        <v>110000</v>
      </c>
      <c r="AI17" s="1"/>
      <c r="AK17" t="s">
        <v>9</v>
      </c>
      <c r="AL17" s="1">
        <v>110000</v>
      </c>
      <c r="AM17" s="1"/>
      <c r="AO17" t="s">
        <v>9</v>
      </c>
      <c r="AP17" s="1">
        <v>110000</v>
      </c>
      <c r="AQ17" s="1"/>
      <c r="AS17" t="s">
        <v>9</v>
      </c>
      <c r="AT17" s="1">
        <v>110000</v>
      </c>
      <c r="AU17" s="1"/>
    </row>
    <row r="18" spans="1:47" x14ac:dyDescent="0.25">
      <c r="B18" s="1">
        <f>SUM(B13:B17)</f>
        <v>1563611</v>
      </c>
      <c r="C18" s="1"/>
      <c r="F18" s="1">
        <f>SUM(F13:F17)</f>
        <v>2086500</v>
      </c>
      <c r="G18" s="1"/>
      <c r="J18" s="1">
        <f>SUM(J13:J17)</f>
        <v>908000</v>
      </c>
      <c r="K18" s="1"/>
      <c r="N18" s="1">
        <f>SUM(N13:N17)</f>
        <v>1204420</v>
      </c>
      <c r="O18" s="1"/>
      <c r="R18" s="1">
        <f>SUM(R13:R17)</f>
        <v>2723000</v>
      </c>
      <c r="S18" s="1"/>
      <c r="V18" s="1">
        <f>SUM(V13:V17)</f>
        <v>2944000</v>
      </c>
      <c r="W18" s="1"/>
      <c r="Z18" s="1">
        <f>SUM(Z13:Z17)</f>
        <v>2094500</v>
      </c>
      <c r="AA18" s="1"/>
      <c r="AD18" s="1">
        <f>SUM(AD13:AD17)</f>
        <v>1618100</v>
      </c>
      <c r="AE18" s="1"/>
      <c r="AH18" s="1">
        <f>SUM(AH13:AH17)</f>
        <v>1328500</v>
      </c>
      <c r="AI18" s="1"/>
      <c r="AL18" s="1">
        <f>SUM(AL13:AL17)</f>
        <v>1822120</v>
      </c>
      <c r="AM18" s="1"/>
      <c r="AP18" s="1">
        <f>SUM(AP13:AP17)</f>
        <v>1626900</v>
      </c>
      <c r="AQ18" s="1"/>
      <c r="AT18" s="1">
        <f>SUM(AT13:AT17)</f>
        <v>1532995</v>
      </c>
      <c r="AU18" s="1"/>
    </row>
    <row r="19" spans="1:47" x14ac:dyDescent="0.25">
      <c r="A19" s="2"/>
      <c r="B19" s="3"/>
      <c r="C19" s="3">
        <f>C10+B18</f>
        <v>120485371</v>
      </c>
      <c r="E19" s="2"/>
      <c r="F19" s="3"/>
      <c r="G19" s="3">
        <f>G10+F18</f>
        <v>97660159</v>
      </c>
      <c r="I19" s="2"/>
      <c r="J19" s="3"/>
      <c r="K19" s="3">
        <f>K10+J18</f>
        <v>87870540</v>
      </c>
      <c r="M19" s="2"/>
      <c r="N19" s="3"/>
      <c r="O19" s="3">
        <f>O10+N18</f>
        <v>156400250</v>
      </c>
      <c r="Q19" s="2"/>
      <c r="R19" s="3"/>
      <c r="S19" s="3">
        <f>S10+R18</f>
        <v>137034370</v>
      </c>
      <c r="U19" s="2"/>
      <c r="V19" s="3"/>
      <c r="W19" s="3">
        <f>W10+V18</f>
        <v>207914158</v>
      </c>
      <c r="Y19" s="2"/>
      <c r="Z19" s="3"/>
      <c r="AA19" s="3">
        <f>AA10+Z18</f>
        <v>173719649</v>
      </c>
      <c r="AC19" s="2"/>
      <c r="AD19" s="3"/>
      <c r="AE19" s="3">
        <f>AE10+AD18</f>
        <v>211768684</v>
      </c>
      <c r="AG19" s="2"/>
      <c r="AH19" s="3"/>
      <c r="AI19" s="3">
        <f>AI10+AH18</f>
        <v>172618490</v>
      </c>
      <c r="AK19" s="2"/>
      <c r="AL19" s="3"/>
      <c r="AM19" s="3">
        <f>AM10+AL18</f>
        <v>129767520</v>
      </c>
      <c r="AO19" s="2"/>
      <c r="AP19" s="3"/>
      <c r="AQ19" s="3">
        <f>AQ10+AP18</f>
        <v>197167509</v>
      </c>
      <c r="AS19" s="2"/>
      <c r="AT19" s="3"/>
      <c r="AU19" s="3">
        <f>AU10+AT18</f>
        <v>93127640</v>
      </c>
    </row>
    <row r="20" spans="1:47" x14ac:dyDescent="0.25">
      <c r="B20" s="1"/>
      <c r="C20" s="1"/>
      <c r="F20" s="1"/>
      <c r="G20" s="1"/>
      <c r="J20" s="1"/>
      <c r="K20" s="1"/>
      <c r="N20" s="1"/>
      <c r="O20" s="1"/>
      <c r="R20" s="1"/>
      <c r="S20" s="1"/>
      <c r="V20" s="1"/>
      <c r="W20" s="1"/>
      <c r="Z20" s="1"/>
      <c r="AA20" s="1"/>
      <c r="AD20" s="1"/>
      <c r="AE20" s="1"/>
      <c r="AH20" s="1"/>
      <c r="AI20" s="1"/>
      <c r="AL20" s="1"/>
      <c r="AM20" s="1"/>
      <c r="AP20" s="1"/>
      <c r="AQ20" s="1"/>
      <c r="AT20" s="1"/>
      <c r="AU20" s="1"/>
    </row>
    <row r="21" spans="1:47" x14ac:dyDescent="0.25">
      <c r="A21" s="42" t="s">
        <v>71</v>
      </c>
      <c r="B21" s="42"/>
      <c r="C21" s="42"/>
      <c r="E21" s="42" t="s">
        <v>71</v>
      </c>
      <c r="F21" s="42"/>
      <c r="G21" s="42"/>
      <c r="I21" s="42" t="s">
        <v>71</v>
      </c>
      <c r="J21" s="42"/>
      <c r="K21" s="42"/>
      <c r="M21" s="42" t="s">
        <v>71</v>
      </c>
      <c r="N21" s="42"/>
      <c r="O21" s="42"/>
      <c r="Q21" s="42" t="s">
        <v>71</v>
      </c>
      <c r="R21" s="42"/>
      <c r="S21" s="42"/>
      <c r="U21" s="42" t="s">
        <v>71</v>
      </c>
      <c r="V21" s="42"/>
      <c r="W21" s="42"/>
      <c r="Y21" s="42" t="s">
        <v>71</v>
      </c>
      <c r="Z21" s="42"/>
      <c r="AA21" s="42"/>
      <c r="AC21" s="42" t="s">
        <v>71</v>
      </c>
      <c r="AD21" s="42"/>
      <c r="AE21" s="42"/>
      <c r="AG21" s="42" t="s">
        <v>71</v>
      </c>
      <c r="AH21" s="42"/>
      <c r="AI21" s="42"/>
      <c r="AK21" s="42" t="s">
        <v>71</v>
      </c>
      <c r="AL21" s="42"/>
      <c r="AM21" s="42"/>
      <c r="AO21" s="42" t="s">
        <v>71</v>
      </c>
      <c r="AP21" s="42"/>
      <c r="AQ21" s="42"/>
      <c r="AS21" s="42" t="s">
        <v>71</v>
      </c>
      <c r="AT21" s="42"/>
      <c r="AU21" s="42"/>
    </row>
    <row r="22" spans="1:47" x14ac:dyDescent="0.25">
      <c r="A22" s="42" t="s">
        <v>292</v>
      </c>
      <c r="B22" s="42"/>
      <c r="C22" s="42"/>
      <c r="E22" s="42" t="s">
        <v>295</v>
      </c>
      <c r="F22" s="42"/>
      <c r="G22" s="42"/>
      <c r="I22" s="42" t="s">
        <v>295</v>
      </c>
      <c r="J22" s="42"/>
      <c r="K22" s="42"/>
      <c r="M22" s="42" t="s">
        <v>333</v>
      </c>
      <c r="N22" s="42"/>
      <c r="O22" s="42"/>
      <c r="Q22" s="42" t="s">
        <v>333</v>
      </c>
      <c r="R22" s="42"/>
      <c r="S22" s="42"/>
      <c r="U22" s="42" t="s">
        <v>332</v>
      </c>
      <c r="V22" s="42"/>
      <c r="W22" s="42"/>
      <c r="Y22" s="42" t="s">
        <v>336</v>
      </c>
      <c r="Z22" s="42"/>
      <c r="AA22" s="42"/>
      <c r="AC22" s="42" t="s">
        <v>102</v>
      </c>
      <c r="AD22" s="42"/>
      <c r="AE22" s="42"/>
      <c r="AG22" s="42" t="s">
        <v>105</v>
      </c>
      <c r="AH22" s="42"/>
      <c r="AI22" s="42"/>
      <c r="AK22" s="42" t="s">
        <v>149</v>
      </c>
      <c r="AL22" s="42"/>
      <c r="AM22" s="42"/>
      <c r="AO22" s="42" t="s">
        <v>158</v>
      </c>
      <c r="AP22" s="42"/>
      <c r="AQ22" s="42"/>
      <c r="AS22" s="42" t="s">
        <v>158</v>
      </c>
      <c r="AT22" s="42"/>
      <c r="AU22" s="42"/>
    </row>
    <row r="23" spans="1:47" x14ac:dyDescent="0.25">
      <c r="A23" s="2" t="s">
        <v>0</v>
      </c>
      <c r="B23" s="3"/>
      <c r="C23" s="3"/>
      <c r="E23" s="2" t="s">
        <v>0</v>
      </c>
      <c r="F23" s="3"/>
      <c r="G23" s="3"/>
      <c r="I23" s="2" t="s">
        <v>0</v>
      </c>
      <c r="J23" s="3"/>
      <c r="K23" s="3"/>
      <c r="M23" s="2" t="s">
        <v>0</v>
      </c>
      <c r="N23" s="3"/>
      <c r="O23" s="3"/>
      <c r="Q23" s="2" t="s">
        <v>0</v>
      </c>
      <c r="R23" s="3"/>
      <c r="S23" s="3"/>
      <c r="U23" s="2" t="s">
        <v>0</v>
      </c>
      <c r="V23" s="3"/>
      <c r="Y23" s="2" t="s">
        <v>0</v>
      </c>
      <c r="Z23" s="3"/>
      <c r="AC23" s="2" t="s">
        <v>0</v>
      </c>
      <c r="AD23" s="3"/>
      <c r="AG23" s="2" t="s">
        <v>0</v>
      </c>
      <c r="AH23" s="3"/>
      <c r="AK23" s="2" t="s">
        <v>0</v>
      </c>
      <c r="AL23" s="3"/>
      <c r="AO23" s="2" t="s">
        <v>0</v>
      </c>
      <c r="AP23" s="3"/>
      <c r="AS23" s="2" t="s">
        <v>0</v>
      </c>
      <c r="AT23" s="3"/>
    </row>
    <row r="24" spans="1:47" x14ac:dyDescent="0.25">
      <c r="A24" t="s">
        <v>10</v>
      </c>
      <c r="B24" s="1"/>
      <c r="C24" s="1">
        <v>135829763</v>
      </c>
      <c r="E24" t="s">
        <v>10</v>
      </c>
      <c r="F24" s="1"/>
      <c r="G24" s="1">
        <v>104097648</v>
      </c>
      <c r="I24" t="s">
        <v>10</v>
      </c>
      <c r="J24" s="1"/>
      <c r="K24" s="1">
        <v>101071816</v>
      </c>
      <c r="M24" t="s">
        <v>10</v>
      </c>
      <c r="N24" s="1"/>
      <c r="O24" s="1">
        <v>175194444</v>
      </c>
      <c r="Q24" t="s">
        <v>10</v>
      </c>
      <c r="R24" s="1"/>
      <c r="S24" s="1">
        <v>157781840</v>
      </c>
      <c r="U24" t="s">
        <v>10</v>
      </c>
      <c r="V24" s="1"/>
      <c r="W24" s="1">
        <v>268750154</v>
      </c>
      <c r="Y24" t="s">
        <v>10</v>
      </c>
      <c r="Z24" s="1"/>
      <c r="AA24" s="1">
        <v>204269779</v>
      </c>
      <c r="AC24" t="s">
        <v>10</v>
      </c>
      <c r="AD24" s="1"/>
      <c r="AE24" s="1">
        <v>273198040</v>
      </c>
      <c r="AG24" t="s">
        <v>10</v>
      </c>
      <c r="AH24" s="1"/>
      <c r="AI24" s="1">
        <v>197873718</v>
      </c>
      <c r="AK24" t="s">
        <v>10</v>
      </c>
      <c r="AL24" s="1"/>
      <c r="AM24" s="1">
        <v>174627389</v>
      </c>
      <c r="AO24" t="s">
        <v>10</v>
      </c>
      <c r="AP24" s="1"/>
      <c r="AQ24" s="1">
        <v>230293875</v>
      </c>
      <c r="AS24" t="s">
        <v>10</v>
      </c>
      <c r="AT24" s="1"/>
      <c r="AU24" s="1">
        <v>127427926</v>
      </c>
    </row>
    <row r="25" spans="1:47" x14ac:dyDescent="0.25">
      <c r="A25" t="s">
        <v>11</v>
      </c>
      <c r="B25" s="1">
        <v>14490272</v>
      </c>
      <c r="C25" s="1"/>
      <c r="E25" t="s">
        <v>11</v>
      </c>
      <c r="F25" s="1">
        <v>7814104</v>
      </c>
      <c r="G25" s="1"/>
      <c r="I25" t="s">
        <v>11</v>
      </c>
      <c r="J25" s="1">
        <v>8969253</v>
      </c>
      <c r="K25" s="1"/>
      <c r="M25" t="s">
        <v>11</v>
      </c>
      <c r="N25" s="1">
        <v>12077151</v>
      </c>
      <c r="O25" s="1"/>
      <c r="Q25" t="s">
        <v>11</v>
      </c>
      <c r="R25" s="1">
        <v>17065392</v>
      </c>
      <c r="S25" s="1"/>
      <c r="U25" t="s">
        <v>11</v>
      </c>
      <c r="V25" s="1">
        <v>48492193</v>
      </c>
      <c r="W25" s="1"/>
      <c r="Y25" t="s">
        <v>11</v>
      </c>
      <c r="Z25" s="1">
        <v>19277043</v>
      </c>
      <c r="AA25" s="1"/>
      <c r="AC25" t="s">
        <v>11</v>
      </c>
      <c r="AD25" s="1">
        <v>31949300</v>
      </c>
      <c r="AE25" s="1"/>
      <c r="AG25" t="s">
        <v>11</v>
      </c>
      <c r="AH25" s="1">
        <v>20496111</v>
      </c>
      <c r="AI25" s="1"/>
      <c r="AK25" t="s">
        <v>11</v>
      </c>
      <c r="AL25" s="1">
        <v>19326225</v>
      </c>
      <c r="AM25" s="1"/>
      <c r="AO25" t="s">
        <v>11</v>
      </c>
      <c r="AP25" s="1">
        <v>27219479</v>
      </c>
      <c r="AQ25" s="1"/>
      <c r="AS25" t="s">
        <v>11</v>
      </c>
      <c r="AT25" s="1">
        <v>21337575</v>
      </c>
      <c r="AU25" s="1"/>
    </row>
    <row r="26" spans="1:47" x14ac:dyDescent="0.25">
      <c r="A26" t="s">
        <v>12</v>
      </c>
      <c r="B26" s="1"/>
      <c r="C26" s="1">
        <f>C24-B25</f>
        <v>121339491</v>
      </c>
      <c r="E26" t="s">
        <v>12</v>
      </c>
      <c r="F26" s="1"/>
      <c r="G26" s="1">
        <f>G24-F25</f>
        <v>96283544</v>
      </c>
      <c r="I26" t="s">
        <v>12</v>
      </c>
      <c r="J26" s="1"/>
      <c r="K26" s="1">
        <f>K24-J25</f>
        <v>92102563</v>
      </c>
      <c r="M26" t="s">
        <v>12</v>
      </c>
      <c r="N26" s="1"/>
      <c r="O26" s="1">
        <f>O24-N25</f>
        <v>163117293</v>
      </c>
      <c r="Q26" t="s">
        <v>12</v>
      </c>
      <c r="R26" s="1"/>
      <c r="S26" s="1">
        <f>S24-R25</f>
        <v>140716448</v>
      </c>
      <c r="U26" t="s">
        <v>12</v>
      </c>
      <c r="V26" s="1"/>
      <c r="W26" s="1">
        <f>W24-V25</f>
        <v>220257961</v>
      </c>
      <c r="Y26" t="s">
        <v>12</v>
      </c>
      <c r="Z26" s="1"/>
      <c r="AA26" s="1">
        <f>AA24-Z25</f>
        <v>184992736</v>
      </c>
      <c r="AC26" t="s">
        <v>12</v>
      </c>
      <c r="AD26" s="1"/>
      <c r="AE26" s="1">
        <f>AE24-AD25</f>
        <v>241248740</v>
      </c>
      <c r="AG26" t="s">
        <v>12</v>
      </c>
      <c r="AH26" s="1"/>
      <c r="AI26" s="1">
        <f>AI24-AH25</f>
        <v>177377607</v>
      </c>
      <c r="AK26" t="s">
        <v>12</v>
      </c>
      <c r="AL26" s="1"/>
      <c r="AM26" s="1">
        <f>AM24-AL25</f>
        <v>155301164</v>
      </c>
      <c r="AO26" t="s">
        <v>12</v>
      </c>
      <c r="AP26" s="1"/>
      <c r="AQ26" s="1">
        <f>AQ24-AP25</f>
        <v>203074396</v>
      </c>
      <c r="AS26" t="s">
        <v>12</v>
      </c>
      <c r="AT26" s="1"/>
      <c r="AU26" s="1">
        <f>AU24-AT25</f>
        <v>106090351</v>
      </c>
    </row>
    <row r="27" spans="1:47" x14ac:dyDescent="0.25">
      <c r="A27" t="s">
        <v>13</v>
      </c>
      <c r="B27" s="1">
        <f>C19</f>
        <v>120485371</v>
      </c>
      <c r="C27" s="1"/>
      <c r="E27" t="s">
        <v>13</v>
      </c>
      <c r="F27" s="1">
        <f>G19</f>
        <v>97660159</v>
      </c>
      <c r="G27" s="1"/>
      <c r="I27" t="s">
        <v>13</v>
      </c>
      <c r="J27" s="1">
        <f>K19</f>
        <v>87870540</v>
      </c>
      <c r="K27" s="1"/>
      <c r="M27" t="s">
        <v>13</v>
      </c>
      <c r="N27" s="1">
        <f>O19</f>
        <v>156400250</v>
      </c>
      <c r="O27" s="1"/>
      <c r="Q27" t="s">
        <v>13</v>
      </c>
      <c r="R27" s="1">
        <f>S19</f>
        <v>137034370</v>
      </c>
      <c r="S27" s="1"/>
      <c r="U27" t="s">
        <v>13</v>
      </c>
      <c r="V27" s="1">
        <f>W19</f>
        <v>207914158</v>
      </c>
      <c r="W27" s="1"/>
      <c r="Y27" t="s">
        <v>13</v>
      </c>
      <c r="Z27" s="1">
        <f>AA19</f>
        <v>173719649</v>
      </c>
      <c r="AA27" s="1"/>
      <c r="AC27" t="s">
        <v>13</v>
      </c>
      <c r="AD27" s="1">
        <f>AE19</f>
        <v>211768684</v>
      </c>
      <c r="AE27" s="1"/>
      <c r="AG27" t="s">
        <v>13</v>
      </c>
      <c r="AH27" s="1">
        <f>AI19</f>
        <v>172618490</v>
      </c>
      <c r="AI27" s="1"/>
      <c r="AK27" t="s">
        <v>13</v>
      </c>
      <c r="AL27" s="1">
        <f>AM19</f>
        <v>129767520</v>
      </c>
      <c r="AM27" s="1"/>
      <c r="AO27" t="s">
        <v>13</v>
      </c>
      <c r="AP27" s="1">
        <f>AQ19</f>
        <v>197167509</v>
      </c>
      <c r="AQ27" s="1"/>
      <c r="AS27" t="s">
        <v>13</v>
      </c>
      <c r="AT27" s="1">
        <f>AU19</f>
        <v>93127640</v>
      </c>
      <c r="AU27" s="1"/>
    </row>
    <row r="28" spans="1:47" x14ac:dyDescent="0.25">
      <c r="A28" t="s">
        <v>3</v>
      </c>
      <c r="B28" s="1">
        <v>0</v>
      </c>
      <c r="C28" s="1"/>
      <c r="E28" t="s">
        <v>3</v>
      </c>
      <c r="F28" s="1">
        <v>0</v>
      </c>
      <c r="G28" s="1"/>
      <c r="I28" t="s">
        <v>3</v>
      </c>
      <c r="J28" s="1">
        <v>0</v>
      </c>
      <c r="K28" s="1"/>
      <c r="M28" t="s">
        <v>3</v>
      </c>
      <c r="N28" s="1">
        <v>0</v>
      </c>
      <c r="O28" s="1"/>
      <c r="Q28" t="s">
        <v>3</v>
      </c>
      <c r="R28" s="1">
        <v>0</v>
      </c>
      <c r="S28" s="1"/>
      <c r="U28" t="s">
        <v>3</v>
      </c>
      <c r="V28" s="1">
        <v>0</v>
      </c>
      <c r="W28" s="1"/>
      <c r="Y28" t="s">
        <v>3</v>
      </c>
      <c r="Z28" s="1">
        <v>0</v>
      </c>
      <c r="AA28" s="1"/>
      <c r="AC28" t="s">
        <v>3</v>
      </c>
      <c r="AD28" s="1">
        <v>0</v>
      </c>
      <c r="AE28" s="1"/>
      <c r="AG28" t="s">
        <v>3</v>
      </c>
      <c r="AH28" s="1">
        <v>0</v>
      </c>
      <c r="AI28" s="1"/>
      <c r="AK28" t="s">
        <v>3</v>
      </c>
      <c r="AL28" s="1">
        <v>0</v>
      </c>
      <c r="AM28" s="1"/>
      <c r="AO28" t="s">
        <v>3</v>
      </c>
      <c r="AP28" s="1">
        <v>0</v>
      </c>
      <c r="AQ28" s="1"/>
      <c r="AS28" t="s">
        <v>3</v>
      </c>
      <c r="AT28" s="1">
        <v>0</v>
      </c>
      <c r="AU28" s="1"/>
    </row>
    <row r="29" spans="1:47" x14ac:dyDescent="0.25">
      <c r="B29" s="1">
        <f>SUM(B27:B28)</f>
        <v>120485371</v>
      </c>
      <c r="C29" s="1"/>
      <c r="F29" s="1">
        <f>SUM(F27:F28)</f>
        <v>97660159</v>
      </c>
      <c r="G29" s="1"/>
      <c r="J29" s="1">
        <f>SUM(J27:J28)</f>
        <v>87870540</v>
      </c>
      <c r="K29" s="1"/>
      <c r="N29" s="1">
        <f>SUM(N27:N28)</f>
        <v>156400250</v>
      </c>
      <c r="O29" s="1"/>
      <c r="R29" s="1">
        <f>SUM(R27:R28)</f>
        <v>137034370</v>
      </c>
      <c r="S29" s="1"/>
      <c r="V29" s="1">
        <f>SUM(V27:V28)</f>
        <v>207914158</v>
      </c>
      <c r="W29" s="1"/>
      <c r="Z29" s="1">
        <f>SUM(Z27:Z28)</f>
        <v>173719649</v>
      </c>
      <c r="AA29" s="1"/>
      <c r="AD29" s="1">
        <f>SUM(AD27:AD28)</f>
        <v>211768684</v>
      </c>
      <c r="AE29" s="1"/>
      <c r="AH29" s="1">
        <f>SUM(AH27:AH28)</f>
        <v>172618490</v>
      </c>
      <c r="AI29" s="1"/>
      <c r="AL29" s="1">
        <f>SUM(AL27:AL28)</f>
        <v>129767520</v>
      </c>
      <c r="AM29" s="1"/>
      <c r="AP29" s="1">
        <f>SUM(AP27:AP28)</f>
        <v>197167509</v>
      </c>
      <c r="AQ29" s="1"/>
      <c r="AT29" s="1">
        <f>SUM(AT27:AT28)</f>
        <v>93127640</v>
      </c>
      <c r="AU29" s="1"/>
    </row>
    <row r="30" spans="1:47" x14ac:dyDescent="0.25">
      <c r="A30" s="2" t="s">
        <v>14</v>
      </c>
      <c r="B30" s="3"/>
      <c r="C30" s="3">
        <f>C26-B29</f>
        <v>854120</v>
      </c>
      <c r="E30" s="2" t="s">
        <v>14</v>
      </c>
      <c r="F30" s="3"/>
      <c r="G30" s="3">
        <f>G26-F29</f>
        <v>-1376615</v>
      </c>
      <c r="I30" s="2" t="s">
        <v>14</v>
      </c>
      <c r="J30" s="3"/>
      <c r="K30" s="3">
        <f>K26-J29</f>
        <v>4232023</v>
      </c>
      <c r="M30" s="2" t="s">
        <v>14</v>
      </c>
      <c r="N30" s="3"/>
      <c r="O30" s="3">
        <f>O26-N29</f>
        <v>6717043</v>
      </c>
      <c r="Q30" s="2" t="s">
        <v>14</v>
      </c>
      <c r="R30" s="3"/>
      <c r="S30" s="3">
        <f>S26-R29</f>
        <v>3682078</v>
      </c>
      <c r="U30" s="2" t="s">
        <v>14</v>
      </c>
      <c r="V30" s="3"/>
      <c r="W30" s="3">
        <f>W26-V29</f>
        <v>12343803</v>
      </c>
      <c r="Y30" s="2" t="s">
        <v>14</v>
      </c>
      <c r="Z30" s="3"/>
      <c r="AA30" s="3">
        <f>AA26-Z29</f>
        <v>11273087</v>
      </c>
      <c r="AC30" s="2" t="s">
        <v>14</v>
      </c>
      <c r="AD30" s="3"/>
      <c r="AE30" s="3">
        <f>AE26-AD29</f>
        <v>29480056</v>
      </c>
      <c r="AG30" s="2" t="s">
        <v>14</v>
      </c>
      <c r="AH30" s="3"/>
      <c r="AI30" s="3">
        <f>AI26-AH29</f>
        <v>4759117</v>
      </c>
      <c r="AK30" s="2" t="s">
        <v>14</v>
      </c>
      <c r="AL30" s="3"/>
      <c r="AM30" s="3">
        <f>AM26-AL29</f>
        <v>25533644</v>
      </c>
      <c r="AO30" s="2" t="s">
        <v>14</v>
      </c>
      <c r="AP30" s="3"/>
      <c r="AQ30" s="3">
        <f>AQ26-AP29</f>
        <v>5906887</v>
      </c>
      <c r="AS30" s="2" t="s">
        <v>14</v>
      </c>
      <c r="AT30" s="3"/>
      <c r="AU30" s="3">
        <f>AU26-AT29</f>
        <v>12962711</v>
      </c>
    </row>
    <row r="31" spans="1:47" x14ac:dyDescent="0.25">
      <c r="B31" s="1"/>
      <c r="C31" s="1"/>
      <c r="F31" s="1"/>
      <c r="G31" s="1"/>
      <c r="J31" s="1"/>
      <c r="K31" s="1"/>
      <c r="N31" s="1"/>
      <c r="O31" s="1"/>
      <c r="R31" s="1"/>
      <c r="S31" s="1"/>
      <c r="V31" s="1"/>
      <c r="W31" s="1"/>
      <c r="Z31" s="1"/>
      <c r="AA31" s="1"/>
      <c r="AD31" s="1"/>
      <c r="AE31" s="1"/>
      <c r="AH31" s="1"/>
      <c r="AI31" s="1"/>
      <c r="AL31" s="1"/>
      <c r="AM31" s="1"/>
      <c r="AP31" s="1"/>
      <c r="AQ31" s="1"/>
      <c r="AT31" s="1"/>
      <c r="AU31" s="1"/>
    </row>
    <row r="32" spans="1:47" x14ac:dyDescent="0.25">
      <c r="A32" s="2" t="s">
        <v>15</v>
      </c>
      <c r="B32" s="3" t="s">
        <v>92</v>
      </c>
      <c r="C32" s="3"/>
      <c r="E32" s="2" t="s">
        <v>15</v>
      </c>
      <c r="F32" s="3" t="s">
        <v>92</v>
      </c>
      <c r="G32" s="3"/>
      <c r="I32" s="2" t="s">
        <v>15</v>
      </c>
      <c r="J32" s="3" t="s">
        <v>92</v>
      </c>
      <c r="K32" s="3"/>
      <c r="M32" s="2" t="s">
        <v>15</v>
      </c>
      <c r="N32" s="3" t="s">
        <v>92</v>
      </c>
      <c r="O32" s="3"/>
      <c r="Q32" s="2" t="s">
        <v>15</v>
      </c>
      <c r="R32" s="3" t="s">
        <v>92</v>
      </c>
      <c r="S32" s="3"/>
      <c r="U32" s="2" t="s">
        <v>15</v>
      </c>
      <c r="V32" s="3" t="s">
        <v>92</v>
      </c>
      <c r="W32" s="3"/>
      <c r="Y32" s="2" t="s">
        <v>15</v>
      </c>
      <c r="Z32" s="3" t="s">
        <v>92</v>
      </c>
      <c r="AA32" s="3"/>
      <c r="AC32" s="2" t="s">
        <v>15</v>
      </c>
      <c r="AD32" s="3" t="s">
        <v>92</v>
      </c>
      <c r="AE32" s="3"/>
      <c r="AG32" s="2" t="s">
        <v>15</v>
      </c>
      <c r="AH32" s="3" t="s">
        <v>92</v>
      </c>
      <c r="AI32" s="3"/>
      <c r="AK32" s="2" t="s">
        <v>15</v>
      </c>
      <c r="AL32" s="3" t="s">
        <v>92</v>
      </c>
      <c r="AM32" s="3"/>
      <c r="AO32" s="2" t="s">
        <v>15</v>
      </c>
      <c r="AP32" s="3" t="s">
        <v>92</v>
      </c>
      <c r="AQ32" s="3"/>
      <c r="AS32" s="2" t="s">
        <v>15</v>
      </c>
      <c r="AU32" s="3"/>
    </row>
    <row r="33" spans="1:47" x14ac:dyDescent="0.25">
      <c r="A33" t="s">
        <v>16</v>
      </c>
      <c r="B33" s="1">
        <v>20000</v>
      </c>
      <c r="C33" s="1"/>
      <c r="E33" t="s">
        <v>16</v>
      </c>
      <c r="F33" s="1">
        <v>30000</v>
      </c>
      <c r="G33" s="1"/>
      <c r="I33" t="s">
        <v>16</v>
      </c>
      <c r="J33" s="1">
        <v>0</v>
      </c>
      <c r="K33" s="1"/>
      <c r="M33" t="s">
        <v>16</v>
      </c>
      <c r="N33" s="1">
        <v>202000</v>
      </c>
      <c r="O33" s="1"/>
      <c r="Q33" t="s">
        <v>16</v>
      </c>
      <c r="R33" s="1">
        <v>120000</v>
      </c>
      <c r="S33" s="1"/>
      <c r="U33" t="s">
        <v>16</v>
      </c>
      <c r="V33" s="1">
        <v>122500</v>
      </c>
      <c r="W33" s="1"/>
      <c r="Y33" t="s">
        <v>16</v>
      </c>
      <c r="Z33" s="1">
        <v>325000</v>
      </c>
      <c r="AA33" s="1"/>
      <c r="AC33" t="s">
        <v>16</v>
      </c>
      <c r="AD33" s="1">
        <v>111000</v>
      </c>
      <c r="AE33" s="1"/>
      <c r="AG33" t="s">
        <v>16</v>
      </c>
      <c r="AH33" s="1">
        <v>275000</v>
      </c>
      <c r="AI33" s="1"/>
      <c r="AK33" t="s">
        <v>16</v>
      </c>
      <c r="AL33" s="1">
        <v>110400</v>
      </c>
      <c r="AM33" s="1"/>
      <c r="AO33" t="s">
        <v>16</v>
      </c>
      <c r="AP33" s="1">
        <v>105000</v>
      </c>
      <c r="AQ33" s="1"/>
      <c r="AS33" t="s">
        <v>16</v>
      </c>
      <c r="AT33" s="1">
        <v>115000</v>
      </c>
      <c r="AU33" s="1"/>
    </row>
    <row r="34" spans="1:47" x14ac:dyDescent="0.25">
      <c r="A34" t="s">
        <v>17</v>
      </c>
      <c r="B34" s="1">
        <v>750000</v>
      </c>
      <c r="C34" s="1"/>
      <c r="E34" t="s">
        <v>17</v>
      </c>
      <c r="F34" s="1">
        <v>750000</v>
      </c>
      <c r="G34" s="1"/>
      <c r="I34" t="s">
        <v>17</v>
      </c>
      <c r="J34" s="1">
        <v>750000</v>
      </c>
      <c r="K34" s="1"/>
      <c r="M34" t="s">
        <v>17</v>
      </c>
      <c r="N34" s="1">
        <v>550000</v>
      </c>
      <c r="O34" s="1"/>
      <c r="Q34" t="s">
        <v>17</v>
      </c>
      <c r="R34" s="1">
        <v>750000</v>
      </c>
      <c r="S34" s="1"/>
      <c r="U34" t="s">
        <v>17</v>
      </c>
      <c r="V34" s="1">
        <v>750000</v>
      </c>
      <c r="W34" s="1"/>
      <c r="Y34" t="s">
        <v>17</v>
      </c>
      <c r="Z34" s="1">
        <v>750000</v>
      </c>
      <c r="AA34" s="1"/>
      <c r="AC34" t="s">
        <v>17</v>
      </c>
      <c r="AD34" s="1">
        <v>750000</v>
      </c>
      <c r="AE34" s="1"/>
      <c r="AG34" t="s">
        <v>17</v>
      </c>
      <c r="AH34" s="1">
        <v>750000</v>
      </c>
      <c r="AI34" s="1"/>
      <c r="AK34" t="s">
        <v>17</v>
      </c>
      <c r="AL34" s="1">
        <v>750000</v>
      </c>
      <c r="AM34" s="1"/>
      <c r="AO34" t="s">
        <v>17</v>
      </c>
      <c r="AP34" s="1">
        <v>750000</v>
      </c>
      <c r="AQ34" s="1"/>
      <c r="AS34" t="s">
        <v>17</v>
      </c>
      <c r="AT34" s="1">
        <v>1150000</v>
      </c>
      <c r="AU34" s="1"/>
    </row>
    <row r="35" spans="1:47" x14ac:dyDescent="0.25">
      <c r="A35" t="s">
        <v>18</v>
      </c>
      <c r="B35" s="1">
        <v>0</v>
      </c>
      <c r="C35" s="1"/>
      <c r="E35" t="s">
        <v>18</v>
      </c>
      <c r="F35" s="1">
        <v>8265.85</v>
      </c>
      <c r="G35" s="1"/>
      <c r="I35" t="s">
        <v>18</v>
      </c>
      <c r="J35" s="1">
        <v>10510</v>
      </c>
      <c r="K35" s="1"/>
      <c r="M35" t="s">
        <v>18</v>
      </c>
      <c r="N35" s="1">
        <v>0</v>
      </c>
      <c r="O35" s="1"/>
      <c r="Q35" t="s">
        <v>18</v>
      </c>
      <c r="R35" s="1">
        <v>5636</v>
      </c>
      <c r="S35" s="1"/>
      <c r="U35" t="s">
        <v>18</v>
      </c>
      <c r="V35" s="1">
        <v>7777</v>
      </c>
      <c r="W35" s="1"/>
      <c r="Y35" t="s">
        <v>18</v>
      </c>
      <c r="Z35" s="1">
        <v>7900</v>
      </c>
      <c r="AA35" s="1"/>
      <c r="AC35" t="s">
        <v>18</v>
      </c>
      <c r="AD35" s="1">
        <v>5393.25</v>
      </c>
      <c r="AE35" s="1"/>
      <c r="AG35" t="s">
        <v>18</v>
      </c>
      <c r="AH35" s="1">
        <v>187318.42</v>
      </c>
      <c r="AI35" s="1"/>
      <c r="AK35" t="s">
        <v>18</v>
      </c>
      <c r="AL35" s="1">
        <v>51638.1</v>
      </c>
      <c r="AM35" s="1"/>
      <c r="AO35" t="s">
        <v>18</v>
      </c>
      <c r="AP35" s="1">
        <v>87879.75</v>
      </c>
      <c r="AQ35" s="1"/>
      <c r="AS35" t="s">
        <v>18</v>
      </c>
      <c r="AT35" s="1">
        <v>6087</v>
      </c>
      <c r="AU35" s="1"/>
    </row>
    <row r="36" spans="1:47" x14ac:dyDescent="0.25">
      <c r="A36" t="s">
        <v>19</v>
      </c>
      <c r="B36" s="1">
        <v>126800</v>
      </c>
      <c r="C36" s="1"/>
      <c r="E36" t="s">
        <v>19</v>
      </c>
      <c r="F36" s="1">
        <v>39600</v>
      </c>
      <c r="G36" s="1"/>
      <c r="I36" t="s">
        <v>19</v>
      </c>
      <c r="J36" s="1">
        <v>140000</v>
      </c>
      <c r="K36" s="1"/>
      <c r="M36" t="s">
        <v>19</v>
      </c>
      <c r="N36" s="1">
        <v>74000</v>
      </c>
      <c r="O36" s="1"/>
      <c r="Q36" t="s">
        <v>19</v>
      </c>
      <c r="R36" s="1">
        <v>16000</v>
      </c>
      <c r="S36" s="1"/>
      <c r="U36" t="s">
        <v>19</v>
      </c>
      <c r="V36" s="1">
        <v>53200</v>
      </c>
      <c r="W36" s="1"/>
      <c r="Y36" t="s">
        <v>19</v>
      </c>
      <c r="Z36" s="1">
        <v>29020</v>
      </c>
      <c r="AA36" s="1"/>
      <c r="AC36" t="s">
        <v>19</v>
      </c>
      <c r="AD36" s="1">
        <v>622700</v>
      </c>
      <c r="AE36" s="1"/>
      <c r="AG36" t="s">
        <v>19</v>
      </c>
      <c r="AH36" s="1">
        <v>197400</v>
      </c>
      <c r="AI36" s="1"/>
      <c r="AK36" t="s">
        <v>19</v>
      </c>
      <c r="AL36" s="1">
        <v>1585400</v>
      </c>
      <c r="AM36" s="1"/>
      <c r="AO36" t="s">
        <v>19</v>
      </c>
      <c r="AP36" s="1">
        <v>1041100</v>
      </c>
      <c r="AQ36" s="1"/>
      <c r="AS36" t="s">
        <v>19</v>
      </c>
      <c r="AT36" s="1">
        <v>686400</v>
      </c>
      <c r="AU36" s="1"/>
    </row>
    <row r="37" spans="1:47" x14ac:dyDescent="0.25">
      <c r="A37" t="s">
        <v>20</v>
      </c>
      <c r="B37" s="1">
        <v>0</v>
      </c>
      <c r="C37" s="1"/>
      <c r="E37" t="s">
        <v>20</v>
      </c>
      <c r="F37" s="1">
        <v>0</v>
      </c>
      <c r="G37" s="1"/>
      <c r="I37" t="s">
        <v>20</v>
      </c>
      <c r="J37" s="1">
        <v>0</v>
      </c>
      <c r="K37" s="1"/>
      <c r="M37" t="s">
        <v>20</v>
      </c>
      <c r="N37" s="1">
        <v>0</v>
      </c>
      <c r="O37" s="1"/>
      <c r="Q37" t="s">
        <v>20</v>
      </c>
      <c r="R37" s="1">
        <v>150000</v>
      </c>
      <c r="S37" s="1"/>
      <c r="U37" t="s">
        <v>20</v>
      </c>
      <c r="V37" s="1"/>
      <c r="W37" s="1"/>
      <c r="Y37" t="s">
        <v>20</v>
      </c>
      <c r="Z37" s="1"/>
      <c r="AA37" s="1"/>
      <c r="AC37" t="s">
        <v>20</v>
      </c>
      <c r="AD37" s="1"/>
      <c r="AE37" s="1"/>
      <c r="AG37" t="s">
        <v>20</v>
      </c>
      <c r="AH37" s="1"/>
      <c r="AI37" s="1"/>
      <c r="AK37" t="s">
        <v>20</v>
      </c>
      <c r="AL37" s="1">
        <v>25000</v>
      </c>
      <c r="AM37" s="1"/>
      <c r="AO37" t="s">
        <v>20</v>
      </c>
      <c r="AP37" s="1">
        <v>150000</v>
      </c>
      <c r="AQ37" s="1"/>
      <c r="AS37" t="s">
        <v>20</v>
      </c>
      <c r="AT37" s="1">
        <v>495000</v>
      </c>
      <c r="AU37" s="1"/>
    </row>
    <row r="38" spans="1:47" x14ac:dyDescent="0.25">
      <c r="A38" t="s">
        <v>21</v>
      </c>
      <c r="B38" s="1">
        <v>538800</v>
      </c>
      <c r="C38" s="1"/>
      <c r="E38" t="s">
        <v>21</v>
      </c>
      <c r="F38" s="1">
        <v>194000</v>
      </c>
      <c r="G38" s="1"/>
      <c r="I38" t="s">
        <v>21</v>
      </c>
      <c r="J38" s="1">
        <v>175000</v>
      </c>
      <c r="K38" s="1"/>
      <c r="M38" t="s">
        <v>21</v>
      </c>
      <c r="N38" s="1">
        <v>745000</v>
      </c>
      <c r="O38" s="1"/>
      <c r="Q38" t="s">
        <v>21</v>
      </c>
      <c r="R38" s="1">
        <v>70000</v>
      </c>
      <c r="S38" s="1"/>
      <c r="U38" t="s">
        <v>21</v>
      </c>
      <c r="V38" s="1"/>
      <c r="W38" s="1"/>
      <c r="Y38" t="s">
        <v>21</v>
      </c>
      <c r="Z38" s="1">
        <v>666590</v>
      </c>
      <c r="AA38" s="1"/>
      <c r="AC38" t="s">
        <v>21</v>
      </c>
      <c r="AD38" s="1">
        <v>1348037</v>
      </c>
      <c r="AE38" s="1"/>
      <c r="AG38" t="s">
        <v>21</v>
      </c>
      <c r="AH38" s="1"/>
      <c r="AI38" s="1"/>
      <c r="AK38" t="s">
        <v>21</v>
      </c>
      <c r="AL38" s="1"/>
      <c r="AM38" s="1"/>
      <c r="AO38" t="s">
        <v>21</v>
      </c>
      <c r="AP38" s="1"/>
      <c r="AQ38" s="1"/>
      <c r="AS38" t="s">
        <v>21</v>
      </c>
      <c r="AT38" s="1"/>
      <c r="AU38" s="1"/>
    </row>
    <row r="39" spans="1:47" x14ac:dyDescent="0.25">
      <c r="A39" t="s">
        <v>22</v>
      </c>
      <c r="B39" s="1">
        <v>0</v>
      </c>
      <c r="C39" s="1"/>
      <c r="E39" t="s">
        <v>22</v>
      </c>
      <c r="F39" s="1">
        <v>0</v>
      </c>
      <c r="G39" s="1"/>
      <c r="I39" t="s">
        <v>22</v>
      </c>
      <c r="J39" s="1">
        <v>0</v>
      </c>
      <c r="K39" s="1"/>
      <c r="M39" t="s">
        <v>22</v>
      </c>
      <c r="N39" s="1">
        <v>0</v>
      </c>
      <c r="O39" s="1"/>
      <c r="Q39" t="s">
        <v>22</v>
      </c>
      <c r="R39" s="1">
        <v>0</v>
      </c>
      <c r="S39" s="1"/>
      <c r="U39" t="s">
        <v>22</v>
      </c>
      <c r="V39" s="1"/>
      <c r="W39" s="1"/>
      <c r="Y39" t="s">
        <v>22</v>
      </c>
      <c r="Z39" s="1"/>
      <c r="AA39" s="1"/>
      <c r="AC39" t="s">
        <v>22</v>
      </c>
      <c r="AD39" s="1"/>
      <c r="AE39" s="1"/>
      <c r="AG39" t="s">
        <v>22</v>
      </c>
      <c r="AH39" s="1"/>
      <c r="AI39" s="1"/>
      <c r="AK39" t="s">
        <v>22</v>
      </c>
      <c r="AL39" s="1"/>
      <c r="AM39" s="1"/>
      <c r="AO39" t="s">
        <v>22</v>
      </c>
      <c r="AP39" s="1"/>
      <c r="AQ39" s="1"/>
      <c r="AS39" t="s">
        <v>22</v>
      </c>
      <c r="AT39" s="1"/>
      <c r="AU39" s="1"/>
    </row>
    <row r="40" spans="1:47" x14ac:dyDescent="0.25">
      <c r="A40" t="s">
        <v>23</v>
      </c>
      <c r="B40" s="1">
        <v>135000</v>
      </c>
      <c r="C40" s="1"/>
      <c r="E40" t="s">
        <v>23</v>
      </c>
      <c r="F40" s="1">
        <v>115000</v>
      </c>
      <c r="G40" s="1"/>
      <c r="I40" t="s">
        <v>23</v>
      </c>
      <c r="J40" s="1">
        <v>115000</v>
      </c>
      <c r="K40" s="1"/>
      <c r="M40" t="s">
        <v>23</v>
      </c>
      <c r="N40" s="1">
        <v>131000</v>
      </c>
      <c r="O40" s="1"/>
      <c r="Q40" t="s">
        <v>23</v>
      </c>
      <c r="R40" s="1">
        <v>115000</v>
      </c>
      <c r="S40" s="1"/>
      <c r="U40" t="s">
        <v>23</v>
      </c>
      <c r="V40" s="1">
        <v>107500</v>
      </c>
      <c r="W40" s="1"/>
      <c r="Y40" t="s">
        <v>23</v>
      </c>
      <c r="Z40" s="1">
        <v>100000</v>
      </c>
      <c r="AA40" s="1"/>
      <c r="AC40" t="s">
        <v>23</v>
      </c>
      <c r="AD40" s="1">
        <v>150000</v>
      </c>
      <c r="AE40" s="1"/>
      <c r="AG40" t="s">
        <v>23</v>
      </c>
      <c r="AH40" s="1">
        <v>100000</v>
      </c>
      <c r="AI40" s="1"/>
      <c r="AK40" t="s">
        <v>23</v>
      </c>
      <c r="AL40" s="1">
        <v>100000</v>
      </c>
      <c r="AM40" s="1"/>
      <c r="AO40" t="s">
        <v>23</v>
      </c>
      <c r="AP40" s="1">
        <v>100000</v>
      </c>
      <c r="AQ40" s="1"/>
      <c r="AS40" t="s">
        <v>23</v>
      </c>
      <c r="AT40" s="1">
        <v>100000</v>
      </c>
      <c r="AU40" s="1"/>
    </row>
    <row r="41" spans="1:47" x14ac:dyDescent="0.25">
      <c r="A41" t="s">
        <v>69</v>
      </c>
      <c r="B41" s="1"/>
      <c r="C41" s="1"/>
      <c r="E41" t="s">
        <v>69</v>
      </c>
      <c r="F41" s="1"/>
      <c r="G41" s="1"/>
      <c r="I41" t="s">
        <v>69</v>
      </c>
      <c r="J41" s="1"/>
      <c r="K41" s="1"/>
      <c r="M41" t="s">
        <v>69</v>
      </c>
      <c r="N41" s="1"/>
      <c r="O41" s="1"/>
      <c r="Q41" t="s">
        <v>69</v>
      </c>
      <c r="R41" s="1"/>
      <c r="S41" s="1"/>
      <c r="U41" t="s">
        <v>69</v>
      </c>
      <c r="V41" s="1"/>
      <c r="W41" s="1"/>
      <c r="Y41" t="s">
        <v>69</v>
      </c>
      <c r="Z41" s="1"/>
      <c r="AA41" s="1"/>
      <c r="AC41" t="s">
        <v>69</v>
      </c>
      <c r="AD41" s="1"/>
      <c r="AE41" s="1"/>
      <c r="AG41" t="s">
        <v>69</v>
      </c>
      <c r="AH41" s="1"/>
      <c r="AI41" s="1"/>
      <c r="AK41" t="s">
        <v>69</v>
      </c>
      <c r="AL41" s="1"/>
      <c r="AM41" s="1"/>
      <c r="AO41" t="s">
        <v>69</v>
      </c>
      <c r="AP41" s="1"/>
      <c r="AQ41" s="1"/>
      <c r="AS41" t="s">
        <v>69</v>
      </c>
      <c r="AT41" s="1"/>
      <c r="AU41" s="1"/>
    </row>
    <row r="42" spans="1:47" x14ac:dyDescent="0.25">
      <c r="A42" t="s">
        <v>24</v>
      </c>
      <c r="B42" s="1">
        <v>0</v>
      </c>
      <c r="C42" s="1"/>
      <c r="E42" t="s">
        <v>24</v>
      </c>
      <c r="F42" s="1">
        <v>0</v>
      </c>
      <c r="G42" s="1"/>
      <c r="I42" t="s">
        <v>24</v>
      </c>
      <c r="J42" s="1">
        <v>0</v>
      </c>
      <c r="K42" s="1"/>
      <c r="M42" t="s">
        <v>24</v>
      </c>
      <c r="N42" s="1">
        <v>0</v>
      </c>
      <c r="O42" s="1"/>
      <c r="Q42" t="s">
        <v>24</v>
      </c>
      <c r="R42" s="1">
        <v>0</v>
      </c>
      <c r="S42" s="1"/>
      <c r="U42" t="s">
        <v>24</v>
      </c>
      <c r="V42" s="1"/>
      <c r="W42" s="1"/>
      <c r="Y42" t="s">
        <v>24</v>
      </c>
      <c r="Z42" s="1"/>
      <c r="AA42" s="1"/>
      <c r="AC42" t="s">
        <v>24</v>
      </c>
      <c r="AD42" s="1"/>
      <c r="AE42" s="1"/>
      <c r="AG42" t="s">
        <v>24</v>
      </c>
      <c r="AH42" s="1"/>
      <c r="AI42" s="1"/>
      <c r="AK42" t="s">
        <v>24</v>
      </c>
      <c r="AL42" s="1"/>
      <c r="AM42" s="1"/>
      <c r="AO42" t="s">
        <v>24</v>
      </c>
      <c r="AP42" s="1"/>
      <c r="AQ42" s="1"/>
      <c r="AS42" t="s">
        <v>24</v>
      </c>
      <c r="AT42" s="1"/>
      <c r="AU42" s="1"/>
    </row>
    <row r="43" spans="1:47" x14ac:dyDescent="0.25">
      <c r="A43" t="s">
        <v>25</v>
      </c>
      <c r="B43" s="1"/>
      <c r="C43" s="1"/>
      <c r="E43" t="s">
        <v>25</v>
      </c>
      <c r="F43" s="1">
        <v>1000000</v>
      </c>
      <c r="G43" s="1"/>
      <c r="I43" t="s">
        <v>25</v>
      </c>
      <c r="J43" s="1">
        <v>2150000</v>
      </c>
      <c r="K43" s="1"/>
      <c r="M43" t="s">
        <v>25</v>
      </c>
      <c r="N43" s="1">
        <v>0</v>
      </c>
      <c r="O43" s="1"/>
      <c r="Q43" t="s">
        <v>25</v>
      </c>
      <c r="R43" s="1">
        <v>800000</v>
      </c>
      <c r="S43" s="1"/>
      <c r="U43" t="s">
        <v>25</v>
      </c>
      <c r="V43" s="1"/>
      <c r="W43" s="1"/>
      <c r="Y43" t="s">
        <v>25</v>
      </c>
      <c r="Z43" s="1"/>
      <c r="AA43" s="1"/>
      <c r="AC43" t="s">
        <v>25</v>
      </c>
      <c r="AD43" s="1"/>
      <c r="AE43" s="1"/>
      <c r="AG43" t="s">
        <v>25</v>
      </c>
      <c r="AH43" s="1"/>
      <c r="AI43" s="1"/>
      <c r="AK43" t="s">
        <v>25</v>
      </c>
      <c r="AL43" s="1"/>
      <c r="AM43" s="1"/>
      <c r="AO43" t="s">
        <v>25</v>
      </c>
      <c r="AP43" s="1"/>
      <c r="AQ43" s="1"/>
      <c r="AS43" t="s">
        <v>25</v>
      </c>
      <c r="AT43" s="1"/>
      <c r="AU43" s="1"/>
    </row>
    <row r="44" spans="1:47" x14ac:dyDescent="0.25">
      <c r="B44" s="1">
        <f>SUM(B33:B43)</f>
        <v>1570600</v>
      </c>
      <c r="C44" s="1"/>
      <c r="F44" s="1">
        <f>SUM(F33:F43)</f>
        <v>2136865.85</v>
      </c>
      <c r="G44" s="1"/>
      <c r="J44" s="1">
        <f>SUM(J33:J43)</f>
        <v>3340510</v>
      </c>
      <c r="K44" s="1"/>
      <c r="N44" s="1">
        <f>SUM(N33:N43)</f>
        <v>1702000</v>
      </c>
      <c r="O44" s="1"/>
      <c r="R44" s="1">
        <f>SUM(R33:R43)</f>
        <v>2026636</v>
      </c>
      <c r="S44" s="1"/>
      <c r="V44" s="1">
        <f>SUM(V33:V43)</f>
        <v>1040977</v>
      </c>
      <c r="W44" s="1"/>
      <c r="Z44" s="1">
        <f>SUM(Z33:Z43)</f>
        <v>1878510</v>
      </c>
      <c r="AA44" s="1"/>
      <c r="AD44" s="1">
        <f>SUM(AD33:AD43)</f>
        <v>2987130.25</v>
      </c>
      <c r="AE44" s="1"/>
      <c r="AH44" s="1">
        <f>SUM(AH33:AH43)</f>
        <v>1509718.42</v>
      </c>
      <c r="AI44" s="1"/>
      <c r="AL44" s="1">
        <f>SUM(AL33:AL43)</f>
        <v>2622438.1</v>
      </c>
      <c r="AM44" s="1"/>
      <c r="AP44" s="1">
        <f>SUM(AP33:AP43)</f>
        <v>2233979.75</v>
      </c>
      <c r="AQ44" s="1"/>
      <c r="AT44" s="1">
        <f>SUM(AT33:AT43)</f>
        <v>2552487</v>
      </c>
      <c r="AU44" s="1"/>
    </row>
    <row r="45" spans="1:47" x14ac:dyDescent="0.25">
      <c r="A45" s="2" t="s">
        <v>26</v>
      </c>
      <c r="B45" s="3"/>
      <c r="C45" s="3">
        <f>C30-B44</f>
        <v>-716480</v>
      </c>
      <c r="E45" s="2" t="s">
        <v>26</v>
      </c>
      <c r="F45" s="3"/>
      <c r="G45" s="3">
        <f>G30-F44</f>
        <v>-3513480.85</v>
      </c>
      <c r="I45" s="2" t="s">
        <v>26</v>
      </c>
      <c r="J45" s="3"/>
      <c r="K45" s="3">
        <f>K30-J44</f>
        <v>891513</v>
      </c>
      <c r="M45" s="2" t="s">
        <v>26</v>
      </c>
      <c r="N45" s="3"/>
      <c r="O45" s="3">
        <f>O30-N44</f>
        <v>5015043</v>
      </c>
      <c r="Q45" s="2" t="s">
        <v>26</v>
      </c>
      <c r="R45" s="3"/>
      <c r="S45" s="3">
        <f>S30-R44</f>
        <v>1655442</v>
      </c>
      <c r="U45" s="2" t="s">
        <v>26</v>
      </c>
      <c r="V45" s="3"/>
      <c r="W45" s="3">
        <f>W30-V44</f>
        <v>11302826</v>
      </c>
      <c r="Y45" s="2" t="s">
        <v>26</v>
      </c>
      <c r="Z45" s="3"/>
      <c r="AA45" s="3">
        <f>AA30-Z44</f>
        <v>9394577</v>
      </c>
      <c r="AC45" s="2" t="s">
        <v>26</v>
      </c>
      <c r="AD45" s="3"/>
      <c r="AE45" s="3">
        <f>AE30-AD44</f>
        <v>26492925.75</v>
      </c>
      <c r="AG45" s="2" t="s">
        <v>26</v>
      </c>
      <c r="AH45" s="3"/>
      <c r="AI45" s="3">
        <f>AI30-AH44</f>
        <v>3249398.58</v>
      </c>
      <c r="AK45" s="2" t="s">
        <v>26</v>
      </c>
      <c r="AL45" s="3"/>
      <c r="AM45" s="3">
        <f>AM30-AL44</f>
        <v>22911205.899999999</v>
      </c>
      <c r="AO45" s="2" t="s">
        <v>26</v>
      </c>
      <c r="AP45" s="3"/>
      <c r="AQ45" s="3">
        <f>AQ30-AP44</f>
        <v>3672907.25</v>
      </c>
      <c r="AS45" s="2" t="s">
        <v>26</v>
      </c>
      <c r="AT45" s="3"/>
      <c r="AU45" s="3">
        <f>AU30-AT44</f>
        <v>10410224</v>
      </c>
    </row>
    <row r="46" spans="1:47" x14ac:dyDescent="0.25">
      <c r="B46" s="1"/>
      <c r="C46" s="1"/>
      <c r="F46" s="1"/>
      <c r="G46" s="1"/>
      <c r="J46" s="1"/>
      <c r="K46" s="1"/>
      <c r="N46" s="1"/>
      <c r="O46" s="1"/>
      <c r="R46" s="1"/>
      <c r="S46" s="1"/>
      <c r="V46" s="1"/>
      <c r="W46" s="1"/>
      <c r="Z46" s="1"/>
      <c r="AA46" s="1"/>
      <c r="AD46" s="1"/>
      <c r="AE46" s="1"/>
      <c r="AH46" s="1"/>
      <c r="AI46" s="1"/>
      <c r="AL46" s="1"/>
      <c r="AM46" s="1"/>
      <c r="AP46" s="1"/>
      <c r="AQ46" s="1"/>
      <c r="AT46" s="1"/>
      <c r="AU46" s="1"/>
    </row>
    <row r="47" spans="1:47" x14ac:dyDescent="0.25">
      <c r="A47" t="s">
        <v>68</v>
      </c>
      <c r="B47" s="1"/>
      <c r="C47" s="1"/>
      <c r="E47" t="s">
        <v>68</v>
      </c>
      <c r="F47" s="1"/>
      <c r="G47" s="1"/>
      <c r="I47" t="s">
        <v>68</v>
      </c>
      <c r="J47" s="1"/>
      <c r="K47" s="1"/>
      <c r="M47" t="s">
        <v>68</v>
      </c>
      <c r="N47" s="1">
        <v>400000</v>
      </c>
      <c r="O47" s="1"/>
      <c r="Q47" t="s">
        <v>68</v>
      </c>
      <c r="R47" s="1">
        <v>200000</v>
      </c>
      <c r="S47" s="1"/>
      <c r="U47" t="s">
        <v>68</v>
      </c>
      <c r="V47" s="1">
        <v>200000</v>
      </c>
      <c r="W47" s="1"/>
      <c r="Y47" t="s">
        <v>68</v>
      </c>
      <c r="Z47" s="1">
        <v>200000</v>
      </c>
      <c r="AA47" s="1"/>
      <c r="AC47" t="s">
        <v>68</v>
      </c>
      <c r="AD47" s="1">
        <v>200000</v>
      </c>
      <c r="AE47" s="1"/>
      <c r="AG47" t="s">
        <v>68</v>
      </c>
      <c r="AH47" s="1">
        <v>200000</v>
      </c>
      <c r="AI47" s="1"/>
      <c r="AK47" t="s">
        <v>68</v>
      </c>
      <c r="AL47" s="1">
        <v>200000</v>
      </c>
      <c r="AM47" s="1"/>
      <c r="AO47" t="s">
        <v>68</v>
      </c>
      <c r="AP47" s="1">
        <v>200000</v>
      </c>
      <c r="AQ47" s="1"/>
      <c r="AS47" t="s">
        <v>68</v>
      </c>
      <c r="AT47" s="1">
        <v>200000</v>
      </c>
      <c r="AU47" s="1"/>
    </row>
    <row r="48" spans="1:47" x14ac:dyDescent="0.25">
      <c r="A48" t="s">
        <v>27</v>
      </c>
      <c r="B48" s="1">
        <v>288000</v>
      </c>
      <c r="C48" s="1"/>
      <c r="E48" t="s">
        <v>27</v>
      </c>
      <c r="F48" s="1">
        <v>3375000</v>
      </c>
      <c r="G48" s="1"/>
      <c r="I48" t="s">
        <v>27</v>
      </c>
      <c r="J48" s="1">
        <v>1385000</v>
      </c>
      <c r="K48" s="1"/>
      <c r="M48" t="s">
        <v>27</v>
      </c>
      <c r="N48" s="1">
        <v>2450000</v>
      </c>
      <c r="O48" s="1"/>
      <c r="Q48" t="s">
        <v>27</v>
      </c>
      <c r="R48" s="1">
        <v>164000</v>
      </c>
      <c r="S48" s="1"/>
      <c r="U48" t="s">
        <v>27</v>
      </c>
      <c r="V48" s="1">
        <v>864350</v>
      </c>
      <c r="W48" s="1"/>
      <c r="Y48" t="s">
        <v>27</v>
      </c>
      <c r="Z48" s="1">
        <v>552000</v>
      </c>
      <c r="AA48" s="1"/>
      <c r="AC48" t="s">
        <v>27</v>
      </c>
      <c r="AD48" s="1">
        <v>1563000</v>
      </c>
      <c r="AE48" s="1"/>
      <c r="AG48" t="s">
        <v>27</v>
      </c>
      <c r="AH48" s="1">
        <v>1373000</v>
      </c>
      <c r="AI48" s="1"/>
      <c r="AK48" t="s">
        <v>27</v>
      </c>
      <c r="AL48" s="1">
        <v>427600</v>
      </c>
      <c r="AM48" s="1"/>
      <c r="AO48" t="s">
        <v>27</v>
      </c>
      <c r="AP48" s="1">
        <v>0</v>
      </c>
      <c r="AQ48" s="1"/>
      <c r="AS48" t="s">
        <v>27</v>
      </c>
      <c r="AT48" s="1">
        <v>7345100</v>
      </c>
      <c r="AU48" s="1"/>
    </row>
    <row r="49" spans="1:47" x14ac:dyDescent="0.25">
      <c r="A49" t="s">
        <v>274</v>
      </c>
      <c r="B49" s="1">
        <v>15000</v>
      </c>
      <c r="C49" s="1"/>
      <c r="E49" t="s">
        <v>274</v>
      </c>
      <c r="F49" s="1"/>
      <c r="G49" s="1"/>
      <c r="I49" t="s">
        <v>274</v>
      </c>
      <c r="J49" s="1">
        <v>1000000</v>
      </c>
      <c r="K49" s="1"/>
      <c r="M49" t="s">
        <v>274</v>
      </c>
      <c r="N49" s="1">
        <v>0</v>
      </c>
      <c r="O49" s="1"/>
      <c r="Q49" t="s">
        <v>274</v>
      </c>
      <c r="R49" s="1"/>
      <c r="S49" s="1"/>
      <c r="U49" t="s">
        <v>274</v>
      </c>
      <c r="V49" s="1">
        <v>500000</v>
      </c>
      <c r="W49" s="1"/>
      <c r="Y49" t="s">
        <v>274</v>
      </c>
      <c r="Z49" s="1"/>
      <c r="AA49" s="1"/>
      <c r="AC49" t="s">
        <v>274</v>
      </c>
      <c r="AD49" s="1">
        <v>120000</v>
      </c>
      <c r="AE49" s="1"/>
      <c r="AG49" t="s">
        <v>274</v>
      </c>
      <c r="AH49" s="1"/>
      <c r="AI49" s="1"/>
      <c r="AK49" t="s">
        <v>274</v>
      </c>
      <c r="AL49" s="1">
        <v>20100</v>
      </c>
      <c r="AM49" s="1"/>
      <c r="AO49" t="s">
        <v>274</v>
      </c>
      <c r="AP49" s="1">
        <v>86000</v>
      </c>
      <c r="AQ49" s="1"/>
      <c r="AS49" t="s">
        <v>274</v>
      </c>
      <c r="AT49" s="1"/>
      <c r="AU49" s="1"/>
    </row>
    <row r="50" spans="1:47" x14ac:dyDescent="0.25">
      <c r="B50" s="1">
        <v>0</v>
      </c>
      <c r="C50" s="1"/>
      <c r="F50" s="1">
        <v>0</v>
      </c>
      <c r="G50" s="1"/>
      <c r="J50" s="1">
        <v>0</v>
      </c>
      <c r="K50" s="1"/>
      <c r="N50" s="1">
        <v>0</v>
      </c>
      <c r="O50" s="1"/>
      <c r="R50" s="1">
        <v>0</v>
      </c>
      <c r="S50" s="1"/>
      <c r="V50" s="1"/>
      <c r="W50" s="1"/>
      <c r="Z50" s="1"/>
      <c r="AA50" s="1"/>
      <c r="AC50" t="s">
        <v>345</v>
      </c>
      <c r="AD50" s="1">
        <v>1300000</v>
      </c>
      <c r="AE50" s="1"/>
      <c r="AH50" s="1"/>
      <c r="AI50" s="1"/>
      <c r="AL50" s="1"/>
      <c r="AM50" s="1"/>
      <c r="AP50" s="1"/>
      <c r="AQ50" s="1"/>
      <c r="AT50" s="1"/>
      <c r="AU50" s="1"/>
    </row>
    <row r="51" spans="1:47" x14ac:dyDescent="0.25">
      <c r="B51" s="1">
        <f>SUM(B47:B50)</f>
        <v>303000</v>
      </c>
      <c r="C51" s="1"/>
      <c r="F51" s="1">
        <f>SUM(F47:F50)</f>
        <v>3375000</v>
      </c>
      <c r="G51" s="1"/>
      <c r="J51" s="1">
        <f>SUM(J47:J50)</f>
        <v>2385000</v>
      </c>
      <c r="K51" s="1"/>
      <c r="N51" s="1">
        <f>SUM(N47:N50)</f>
        <v>2850000</v>
      </c>
      <c r="O51" s="1"/>
      <c r="R51" s="1">
        <f>SUM(R47:R50)</f>
        <v>364000</v>
      </c>
      <c r="S51" s="1"/>
      <c r="V51" s="1">
        <f>SUM(V47:V50)</f>
        <v>1564350</v>
      </c>
      <c r="W51" s="1"/>
      <c r="Z51" s="1">
        <f>SUM(Z47:Z50)</f>
        <v>752000</v>
      </c>
      <c r="AA51" s="1"/>
      <c r="AD51" s="1">
        <f>SUM(AD47:AD50)</f>
        <v>3183000</v>
      </c>
      <c r="AE51" s="1"/>
      <c r="AH51" s="1">
        <f>SUM(AH47:AH50)</f>
        <v>1573000</v>
      </c>
      <c r="AI51" s="1"/>
      <c r="AL51" s="1">
        <f>SUM(AL47:AL50)</f>
        <v>647700</v>
      </c>
      <c r="AM51" s="1"/>
      <c r="AP51" s="1">
        <f>SUM(AP47:AP50)</f>
        <v>286000</v>
      </c>
      <c r="AQ51" s="1"/>
      <c r="AT51" s="1">
        <f>SUM(AT47:AT50)</f>
        <v>7545100</v>
      </c>
      <c r="AU51" s="1"/>
    </row>
    <row r="52" spans="1:47" x14ac:dyDescent="0.25">
      <c r="A52" s="2"/>
      <c r="B52" s="3"/>
      <c r="C52" s="3">
        <f>C45-B51</f>
        <v>-1019480</v>
      </c>
      <c r="E52" s="2"/>
      <c r="F52" s="3"/>
      <c r="G52" s="3">
        <f>G45-F51</f>
        <v>-6888480.8499999996</v>
      </c>
      <c r="I52" s="2"/>
      <c r="J52" s="3"/>
      <c r="K52" s="3">
        <f>K45-J51</f>
        <v>-1493487</v>
      </c>
      <c r="M52" s="2"/>
      <c r="N52" s="3"/>
      <c r="O52" s="3">
        <f>O45-N51</f>
        <v>2165043</v>
      </c>
      <c r="Q52" s="2"/>
      <c r="R52" s="3"/>
      <c r="S52" s="3">
        <f>S45-R51</f>
        <v>1291442</v>
      </c>
      <c r="U52" s="2"/>
      <c r="V52" s="3"/>
      <c r="W52" s="3">
        <f>W45-V51</f>
        <v>9738476</v>
      </c>
      <c r="Y52" s="2"/>
      <c r="Z52" s="3"/>
      <c r="AA52" s="3">
        <f>AA45-Z51</f>
        <v>8642577</v>
      </c>
      <c r="AC52" s="2"/>
      <c r="AD52" s="3"/>
      <c r="AE52" s="3">
        <f>AE45-AD51</f>
        <v>23309925.75</v>
      </c>
      <c r="AG52" s="2"/>
      <c r="AH52" s="3"/>
      <c r="AI52" s="3">
        <f>AI45-AH51</f>
        <v>1676398.58</v>
      </c>
      <c r="AK52" s="2"/>
      <c r="AL52" s="3"/>
      <c r="AM52" s="3">
        <f>AM45-AL51</f>
        <v>22263505.899999999</v>
      </c>
      <c r="AO52" s="2"/>
      <c r="AP52" s="3"/>
      <c r="AQ52" s="3">
        <f>AQ45-AP51</f>
        <v>3386907.25</v>
      </c>
      <c r="AS52" s="2"/>
      <c r="AT52" s="3"/>
      <c r="AU52" s="3">
        <f>AU45-AT51</f>
        <v>2865124</v>
      </c>
    </row>
    <row r="53" spans="1:47" x14ac:dyDescent="0.25">
      <c r="B53" s="1"/>
      <c r="C53" s="1"/>
      <c r="F53" s="1"/>
      <c r="G53" s="1"/>
      <c r="J53" s="1"/>
      <c r="K53" s="1"/>
      <c r="N53" s="1"/>
      <c r="O53" s="1"/>
      <c r="R53" s="1"/>
      <c r="S53" s="1"/>
      <c r="V53" s="1"/>
      <c r="W53" s="1"/>
      <c r="Z53" s="1"/>
      <c r="AA53" s="1"/>
      <c r="AD53" s="1"/>
      <c r="AE53" s="1"/>
      <c r="AH53" s="1"/>
      <c r="AI53" s="1"/>
      <c r="AL53" s="1"/>
      <c r="AM53" s="1"/>
      <c r="AP53" s="1"/>
      <c r="AQ53" s="1"/>
      <c r="AT53" s="1"/>
      <c r="AU53" s="1"/>
    </row>
    <row r="54" spans="1:47" x14ac:dyDescent="0.25">
      <c r="A54" s="42" t="s">
        <v>71</v>
      </c>
      <c r="B54" s="42"/>
      <c r="C54" s="42"/>
      <c r="E54" s="42" t="s">
        <v>71</v>
      </c>
      <c r="F54" s="42"/>
      <c r="G54" s="42"/>
      <c r="I54" s="42" t="s">
        <v>71</v>
      </c>
      <c r="J54" s="42"/>
      <c r="K54" s="42"/>
      <c r="M54" s="42" t="s">
        <v>71</v>
      </c>
      <c r="N54" s="42"/>
      <c r="O54" s="42"/>
      <c r="Q54" s="42" t="s">
        <v>71</v>
      </c>
      <c r="R54" s="42"/>
      <c r="S54" s="42"/>
      <c r="U54" s="42" t="s">
        <v>71</v>
      </c>
      <c r="V54" s="42"/>
      <c r="W54" s="42"/>
      <c r="Y54" s="42" t="s">
        <v>71</v>
      </c>
      <c r="Z54" s="42"/>
      <c r="AA54" s="42"/>
      <c r="AC54" s="42" t="s">
        <v>71</v>
      </c>
      <c r="AD54" s="42"/>
      <c r="AE54" s="42"/>
      <c r="AG54" s="42" t="s">
        <v>71</v>
      </c>
      <c r="AH54" s="42"/>
      <c r="AI54" s="42"/>
      <c r="AK54" s="42" t="s">
        <v>71</v>
      </c>
      <c r="AL54" s="42"/>
      <c r="AM54" s="42"/>
      <c r="AO54" s="42" t="s">
        <v>71</v>
      </c>
      <c r="AP54" s="42"/>
      <c r="AQ54" s="42"/>
      <c r="AS54" s="42" t="s">
        <v>71</v>
      </c>
      <c r="AT54" s="42"/>
      <c r="AU54" s="42"/>
    </row>
    <row r="55" spans="1:47" x14ac:dyDescent="0.25">
      <c r="A55" s="42" t="s">
        <v>293</v>
      </c>
      <c r="B55" s="42"/>
      <c r="C55" s="42"/>
      <c r="E55" s="42" t="s">
        <v>296</v>
      </c>
      <c r="F55" s="42"/>
      <c r="G55" s="42"/>
      <c r="I55" s="42" t="s">
        <v>296</v>
      </c>
      <c r="J55" s="42"/>
      <c r="K55" s="42"/>
      <c r="M55" s="42" t="s">
        <v>296</v>
      </c>
      <c r="N55" s="42"/>
      <c r="O55" s="42"/>
      <c r="Q55" s="42" t="s">
        <v>192</v>
      </c>
      <c r="R55" s="42"/>
      <c r="S55" s="42"/>
      <c r="U55" s="42" t="s">
        <v>337</v>
      </c>
      <c r="V55" s="42"/>
      <c r="W55" s="42"/>
      <c r="Y55" s="42" t="s">
        <v>91</v>
      </c>
      <c r="Z55" s="42"/>
      <c r="AA55" s="42"/>
      <c r="AC55" s="42" t="s">
        <v>240</v>
      </c>
      <c r="AD55" s="42"/>
      <c r="AE55" s="42"/>
      <c r="AG55" s="42" t="s">
        <v>147</v>
      </c>
      <c r="AH55" s="42"/>
      <c r="AI55" s="42"/>
      <c r="AK55" s="42" t="s">
        <v>285</v>
      </c>
      <c r="AL55" s="42"/>
      <c r="AM55" s="42"/>
      <c r="AO55" s="42" t="s">
        <v>284</v>
      </c>
      <c r="AP55" s="42"/>
      <c r="AQ55" s="42"/>
      <c r="AS55" s="42" t="s">
        <v>284</v>
      </c>
      <c r="AT55" s="42"/>
      <c r="AU55" s="42"/>
    </row>
    <row r="56" spans="1:47" x14ac:dyDescent="0.25">
      <c r="A56" t="s">
        <v>29</v>
      </c>
      <c r="B56" s="1">
        <v>131675600</v>
      </c>
      <c r="C56" s="1"/>
      <c r="E56" t="s">
        <v>29</v>
      </c>
      <c r="F56" s="1">
        <f>F9</f>
        <v>139361880</v>
      </c>
      <c r="G56" s="1"/>
      <c r="I56" t="s">
        <v>29</v>
      </c>
      <c r="J56" s="1">
        <f>J9</f>
        <v>111633000</v>
      </c>
      <c r="K56" s="1"/>
      <c r="M56" t="s">
        <v>29</v>
      </c>
      <c r="N56" s="1">
        <f>N9</f>
        <v>86993000</v>
      </c>
      <c r="O56" s="1"/>
      <c r="Q56" t="s">
        <v>29</v>
      </c>
      <c r="R56" s="1">
        <f>R9</f>
        <v>134491100</v>
      </c>
      <c r="S56" s="1"/>
      <c r="U56" t="s">
        <v>29</v>
      </c>
      <c r="V56" s="1">
        <f>V9</f>
        <v>105456800</v>
      </c>
      <c r="W56" s="1"/>
      <c r="Y56" t="s">
        <v>29</v>
      </c>
      <c r="Z56" s="1">
        <f>Z9</f>
        <v>134156060</v>
      </c>
      <c r="AA56" s="1"/>
      <c r="AC56" t="s">
        <v>29</v>
      </c>
      <c r="AD56" s="1">
        <f>AD9</f>
        <v>200668660</v>
      </c>
      <c r="AE56" s="1"/>
      <c r="AG56" t="s">
        <v>29</v>
      </c>
      <c r="AH56" s="1">
        <f>AH9</f>
        <v>162596190</v>
      </c>
      <c r="AI56" s="1"/>
      <c r="AK56" t="s">
        <v>29</v>
      </c>
      <c r="AL56" s="1">
        <f>AL9</f>
        <v>162871360</v>
      </c>
      <c r="AM56" s="1"/>
      <c r="AO56" t="s">
        <v>29</v>
      </c>
      <c r="AP56" s="1">
        <f>AP9</f>
        <v>179392750</v>
      </c>
      <c r="AQ56" s="1"/>
      <c r="AS56" t="s">
        <v>29</v>
      </c>
      <c r="AT56" s="1">
        <f>AT9</f>
        <v>152704600</v>
      </c>
      <c r="AU56" s="1"/>
    </row>
    <row r="57" spans="1:47" x14ac:dyDescent="0.25">
      <c r="A57" t="s">
        <v>30</v>
      </c>
      <c r="B57" s="10">
        <v>4221000</v>
      </c>
      <c r="C57" s="1"/>
      <c r="E57" t="s">
        <v>30</v>
      </c>
      <c r="F57" s="10">
        <v>3031152</v>
      </c>
      <c r="G57" s="1"/>
      <c r="I57" t="s">
        <v>30</v>
      </c>
      <c r="J57" s="10">
        <v>3031152</v>
      </c>
      <c r="K57" s="1"/>
      <c r="M57" t="s">
        <v>30</v>
      </c>
      <c r="N57" s="10">
        <v>3031152</v>
      </c>
      <c r="O57" s="1"/>
      <c r="Q57" t="s">
        <v>30</v>
      </c>
      <c r="R57" s="10">
        <v>5676453</v>
      </c>
      <c r="S57" s="1"/>
      <c r="U57" t="s">
        <v>30</v>
      </c>
      <c r="V57" s="10">
        <v>2244150</v>
      </c>
      <c r="W57" s="1"/>
      <c r="Y57" t="s">
        <v>30</v>
      </c>
      <c r="Z57" s="10">
        <v>4262692</v>
      </c>
      <c r="AA57" s="1"/>
      <c r="AC57" t="s">
        <v>30</v>
      </c>
      <c r="AD57" s="10">
        <v>4932812</v>
      </c>
      <c r="AE57" s="1"/>
      <c r="AG57" t="s">
        <v>30</v>
      </c>
      <c r="AH57" s="10">
        <v>6895561</v>
      </c>
      <c r="AI57" s="1"/>
      <c r="AK57" t="s">
        <v>30</v>
      </c>
      <c r="AL57" s="10">
        <v>828434</v>
      </c>
      <c r="AM57" s="1"/>
      <c r="AO57" t="s">
        <v>30</v>
      </c>
      <c r="AP57" s="10">
        <v>9704216</v>
      </c>
      <c r="AQ57" s="1"/>
      <c r="AS57" t="s">
        <v>30</v>
      </c>
      <c r="AT57" s="10">
        <v>10536337</v>
      </c>
      <c r="AU57" s="1"/>
    </row>
    <row r="58" spans="1:47" x14ac:dyDescent="0.25">
      <c r="A58" t="s">
        <v>31</v>
      </c>
      <c r="B58" s="10">
        <v>1928588</v>
      </c>
      <c r="C58" s="1"/>
      <c r="E58" t="s">
        <v>31</v>
      </c>
      <c r="F58" s="10">
        <v>132862</v>
      </c>
      <c r="G58" s="1"/>
      <c r="I58" t="s">
        <v>31</v>
      </c>
      <c r="J58" s="10">
        <v>132862</v>
      </c>
      <c r="K58" s="1"/>
      <c r="M58" t="s">
        <v>31</v>
      </c>
      <c r="N58" s="10">
        <v>132862</v>
      </c>
      <c r="O58" s="1"/>
      <c r="Q58" t="s">
        <v>31</v>
      </c>
      <c r="R58" s="10">
        <v>5057627</v>
      </c>
      <c r="S58" s="1"/>
      <c r="U58" t="s">
        <v>31</v>
      </c>
      <c r="V58" s="10">
        <v>52179.21</v>
      </c>
      <c r="W58" s="1"/>
      <c r="Y58" t="s">
        <v>31</v>
      </c>
      <c r="Z58" s="10"/>
      <c r="AA58" s="1"/>
      <c r="AC58" t="s">
        <v>31</v>
      </c>
      <c r="AD58" s="10">
        <v>92395</v>
      </c>
      <c r="AE58" s="1"/>
      <c r="AG58" t="s">
        <v>31</v>
      </c>
      <c r="AH58" s="10">
        <v>25191457</v>
      </c>
      <c r="AI58" s="1"/>
      <c r="AK58" t="s">
        <v>31</v>
      </c>
      <c r="AL58" s="10">
        <v>79862880</v>
      </c>
      <c r="AM58" s="1"/>
      <c r="AO58" t="s">
        <v>31</v>
      </c>
      <c r="AP58" s="10">
        <v>448236.4</v>
      </c>
      <c r="AQ58" s="1"/>
      <c r="AS58" t="s">
        <v>31</v>
      </c>
      <c r="AT58" s="10">
        <v>42765</v>
      </c>
      <c r="AU58" s="1"/>
    </row>
    <row r="59" spans="1:47" x14ac:dyDescent="0.25">
      <c r="A59" t="s">
        <v>32</v>
      </c>
      <c r="B59" s="10">
        <v>1249021</v>
      </c>
      <c r="C59" s="1"/>
      <c r="E59" t="s">
        <v>32</v>
      </c>
      <c r="F59" s="10">
        <v>0</v>
      </c>
      <c r="G59" s="1"/>
      <c r="I59" t="s">
        <v>32</v>
      </c>
      <c r="J59" s="10">
        <v>0</v>
      </c>
      <c r="K59" s="1"/>
      <c r="M59" t="s">
        <v>32</v>
      </c>
      <c r="N59" s="10">
        <v>0</v>
      </c>
      <c r="O59" s="1"/>
      <c r="Q59" t="s">
        <v>32</v>
      </c>
      <c r="R59" s="10">
        <v>0</v>
      </c>
      <c r="S59" s="1"/>
      <c r="U59" t="s">
        <v>32</v>
      </c>
      <c r="V59" s="10">
        <v>0</v>
      </c>
      <c r="W59" s="1"/>
      <c r="Y59" t="s">
        <v>32</v>
      </c>
      <c r="Z59" s="10">
        <v>0</v>
      </c>
      <c r="AA59" s="1"/>
      <c r="AC59" t="s">
        <v>32</v>
      </c>
      <c r="AD59" s="10"/>
      <c r="AE59" s="1"/>
      <c r="AG59" t="s">
        <v>32</v>
      </c>
      <c r="AH59" s="10"/>
      <c r="AI59" s="1"/>
      <c r="AK59" t="s">
        <v>32</v>
      </c>
      <c r="AL59" s="10"/>
      <c r="AM59" s="1"/>
      <c r="AO59" t="s">
        <v>32</v>
      </c>
      <c r="AP59" s="10"/>
      <c r="AQ59" s="1"/>
      <c r="AS59" t="s">
        <v>32</v>
      </c>
      <c r="AU59" s="1"/>
    </row>
    <row r="60" spans="1:47" x14ac:dyDescent="0.25">
      <c r="A60" t="s">
        <v>33</v>
      </c>
      <c r="B60" s="1">
        <v>278042</v>
      </c>
      <c r="C60" s="1"/>
      <c r="E60" t="s">
        <v>33</v>
      </c>
      <c r="F60" s="1">
        <v>278042</v>
      </c>
      <c r="G60" s="1"/>
      <c r="I60" t="s">
        <v>33</v>
      </c>
      <c r="J60" s="1">
        <v>278042</v>
      </c>
      <c r="K60" s="1"/>
      <c r="M60" t="s">
        <v>33</v>
      </c>
      <c r="N60" s="1">
        <v>278042</v>
      </c>
      <c r="O60" s="1"/>
      <c r="Q60" t="s">
        <v>33</v>
      </c>
      <c r="R60" s="1">
        <v>278042</v>
      </c>
      <c r="S60" s="1"/>
      <c r="U60" t="s">
        <v>33</v>
      </c>
      <c r="V60" s="1">
        <v>278000</v>
      </c>
      <c r="W60" s="1"/>
      <c r="Y60" t="s">
        <v>33</v>
      </c>
      <c r="Z60" s="1">
        <v>278000</v>
      </c>
      <c r="AA60" s="1"/>
      <c r="AC60" t="s">
        <v>33</v>
      </c>
      <c r="AD60" s="1">
        <v>278000</v>
      </c>
      <c r="AE60" s="1"/>
      <c r="AG60" t="s">
        <v>33</v>
      </c>
      <c r="AH60" s="1">
        <v>278000</v>
      </c>
      <c r="AI60" s="1"/>
      <c r="AK60" t="s">
        <v>33</v>
      </c>
      <c r="AL60" s="1">
        <v>278000</v>
      </c>
      <c r="AM60" s="1"/>
      <c r="AO60" t="s">
        <v>33</v>
      </c>
      <c r="AP60" s="1">
        <v>278000</v>
      </c>
      <c r="AQ60" s="1"/>
      <c r="AS60" t="s">
        <v>33</v>
      </c>
      <c r="AT60" s="1">
        <v>278000</v>
      </c>
      <c r="AU60" s="1"/>
    </row>
    <row r="61" spans="1:47" x14ac:dyDescent="0.25">
      <c r="A61" t="s">
        <v>160</v>
      </c>
      <c r="B61" s="10">
        <v>14412000</v>
      </c>
      <c r="C61" s="1"/>
      <c r="E61" t="s">
        <v>160</v>
      </c>
      <c r="F61" s="10">
        <v>457670</v>
      </c>
      <c r="G61" s="1"/>
      <c r="I61" t="s">
        <v>160</v>
      </c>
      <c r="J61" s="10">
        <v>457670</v>
      </c>
      <c r="K61" s="1"/>
      <c r="M61" t="s">
        <v>160</v>
      </c>
      <c r="N61" s="10">
        <v>457670</v>
      </c>
      <c r="O61" s="1"/>
      <c r="Q61" t="s">
        <v>160</v>
      </c>
      <c r="R61" s="10">
        <v>6877590</v>
      </c>
      <c r="S61" s="1"/>
      <c r="U61" t="s">
        <v>160</v>
      </c>
      <c r="V61" s="10">
        <v>32859667</v>
      </c>
      <c r="W61" s="1"/>
      <c r="Y61" t="s">
        <v>160</v>
      </c>
      <c r="Z61" s="10">
        <v>6961859</v>
      </c>
      <c r="AA61" s="1"/>
      <c r="AC61" t="s">
        <v>160</v>
      </c>
      <c r="AD61" s="10">
        <v>9650931</v>
      </c>
      <c r="AE61" s="1"/>
      <c r="AG61" t="s">
        <v>160</v>
      </c>
      <c r="AH61" s="10">
        <v>20527303</v>
      </c>
      <c r="AI61" s="1"/>
      <c r="AK61" t="s">
        <v>160</v>
      </c>
      <c r="AL61" s="10">
        <v>162957.04999999999</v>
      </c>
      <c r="AM61" s="1"/>
      <c r="AO61" t="s">
        <v>160</v>
      </c>
      <c r="AP61" s="10">
        <v>9888672.2100000009</v>
      </c>
      <c r="AQ61" s="1"/>
      <c r="AS61" t="s">
        <v>160</v>
      </c>
      <c r="AT61" s="10">
        <v>37738239</v>
      </c>
      <c r="AU61" s="1"/>
    </row>
    <row r="62" spans="1:47" x14ac:dyDescent="0.25">
      <c r="A62" s="2"/>
      <c r="B62" s="3"/>
      <c r="C62" s="3">
        <f>SUM(B56:B61)</f>
        <v>153764251</v>
      </c>
      <c r="E62" s="2"/>
      <c r="F62" s="3"/>
      <c r="G62" s="3">
        <f>SUM(F56:F61)</f>
        <v>143261606</v>
      </c>
      <c r="I62" s="2"/>
      <c r="J62" s="3"/>
      <c r="K62" s="3">
        <f>SUM(J56:J61)</f>
        <v>115532726</v>
      </c>
      <c r="M62" s="2"/>
      <c r="N62" s="3"/>
      <c r="O62" s="3">
        <f>SUM(N56:N61)</f>
        <v>90892726</v>
      </c>
      <c r="Q62" s="2"/>
      <c r="R62" s="3"/>
      <c r="S62" s="3">
        <f>SUM(R56:R61)</f>
        <v>152380812</v>
      </c>
      <c r="U62" s="2"/>
      <c r="V62" s="3"/>
      <c r="W62" s="3">
        <f>SUM(V56:V61)</f>
        <v>140890796.20999998</v>
      </c>
      <c r="Y62" s="2"/>
      <c r="Z62" s="3"/>
      <c r="AA62" s="3">
        <f>SUM(Z56:Z61)</f>
        <v>145658611</v>
      </c>
      <c r="AC62" s="2"/>
      <c r="AD62" s="3"/>
      <c r="AE62" s="3">
        <f>SUM(AD56:AD61)</f>
        <v>215622798</v>
      </c>
      <c r="AG62" s="2"/>
      <c r="AH62" s="3"/>
      <c r="AI62" s="3">
        <f>SUM(AH56:AH61)</f>
        <v>215488511</v>
      </c>
      <c r="AK62" s="2"/>
      <c r="AL62" s="3"/>
      <c r="AM62" s="3">
        <f>SUM(AL56:AL61)</f>
        <v>244003631.05000001</v>
      </c>
      <c r="AO62" s="2"/>
      <c r="AP62" s="3"/>
      <c r="AQ62" s="3">
        <f>SUM(AP56:AP61)</f>
        <v>199711874.61000001</v>
      </c>
      <c r="AS62" s="2"/>
      <c r="AT62" s="3"/>
      <c r="AU62" s="3">
        <f>SUM(AT56:AT61)</f>
        <v>201299941</v>
      </c>
    </row>
    <row r="63" spans="1:47" x14ac:dyDescent="0.25">
      <c r="A63" s="2" t="s">
        <v>34</v>
      </c>
      <c r="B63" s="3"/>
      <c r="C63" s="3"/>
      <c r="E63" s="2" t="s">
        <v>34</v>
      </c>
      <c r="F63" s="3"/>
      <c r="G63" s="3"/>
      <c r="I63" s="2" t="s">
        <v>34</v>
      </c>
      <c r="J63" s="3"/>
      <c r="K63" s="3"/>
      <c r="M63" s="2" t="s">
        <v>34</v>
      </c>
      <c r="N63" s="3"/>
      <c r="O63" s="3"/>
      <c r="Q63" s="2" t="s">
        <v>34</v>
      </c>
      <c r="R63" s="3"/>
      <c r="S63" s="3"/>
      <c r="U63" s="2" t="s">
        <v>34</v>
      </c>
      <c r="V63" s="3"/>
      <c r="W63" s="3"/>
      <c r="Y63" s="2" t="s">
        <v>34</v>
      </c>
      <c r="Z63" s="3"/>
      <c r="AA63" s="3"/>
      <c r="AC63" s="2" t="s">
        <v>34</v>
      </c>
      <c r="AD63" s="3"/>
      <c r="AE63" s="3"/>
      <c r="AG63" s="2" t="s">
        <v>34</v>
      </c>
      <c r="AH63" s="3"/>
      <c r="AI63" s="3"/>
      <c r="AK63" s="2" t="s">
        <v>34</v>
      </c>
      <c r="AL63" s="3"/>
      <c r="AM63" s="3"/>
      <c r="AO63" s="2" t="s">
        <v>34</v>
      </c>
      <c r="AP63" s="3"/>
      <c r="AQ63" s="3"/>
      <c r="AS63" s="2" t="s">
        <v>34</v>
      </c>
      <c r="AT63" s="3"/>
      <c r="AU63" s="3"/>
    </row>
    <row r="64" spans="1:47" x14ac:dyDescent="0.25">
      <c r="A64" t="s">
        <v>35</v>
      </c>
      <c r="B64" s="1">
        <v>500000</v>
      </c>
      <c r="C64" s="1"/>
      <c r="E64" t="s">
        <v>35</v>
      </c>
      <c r="F64" s="1">
        <v>500000</v>
      </c>
      <c r="G64" s="1"/>
      <c r="I64" t="s">
        <v>35</v>
      </c>
      <c r="J64" s="1">
        <v>500000</v>
      </c>
      <c r="K64" s="1"/>
      <c r="M64" t="s">
        <v>35</v>
      </c>
      <c r="N64" s="1">
        <v>500000</v>
      </c>
      <c r="O64" s="1"/>
      <c r="Q64" t="s">
        <v>35</v>
      </c>
      <c r="R64" s="1">
        <v>500000</v>
      </c>
      <c r="S64" s="1"/>
      <c r="U64" t="s">
        <v>35</v>
      </c>
      <c r="V64" s="1">
        <v>500000</v>
      </c>
      <c r="W64" s="1"/>
      <c r="Y64" t="s">
        <v>35</v>
      </c>
      <c r="Z64" s="1">
        <v>500000</v>
      </c>
      <c r="AA64" s="1"/>
      <c r="AC64" t="s">
        <v>35</v>
      </c>
      <c r="AD64" s="1">
        <v>500000</v>
      </c>
      <c r="AE64" s="1"/>
      <c r="AG64" t="s">
        <v>35</v>
      </c>
      <c r="AH64" s="1">
        <v>500000</v>
      </c>
      <c r="AI64" s="1"/>
      <c r="AK64" t="s">
        <v>35</v>
      </c>
      <c r="AL64" s="1">
        <v>500000</v>
      </c>
      <c r="AM64" s="1"/>
      <c r="AO64" t="s">
        <v>35</v>
      </c>
      <c r="AP64" s="1">
        <v>500000</v>
      </c>
      <c r="AQ64" s="1"/>
      <c r="AS64" t="s">
        <v>35</v>
      </c>
      <c r="AT64" s="1">
        <v>500000</v>
      </c>
      <c r="AU64" s="1"/>
    </row>
    <row r="65" spans="1:47" x14ac:dyDescent="0.25">
      <c r="A65" t="s">
        <v>36</v>
      </c>
      <c r="B65" s="1">
        <v>101300</v>
      </c>
      <c r="C65" s="1"/>
      <c r="E65" t="s">
        <v>36</v>
      </c>
      <c r="F65" s="1">
        <v>101300</v>
      </c>
      <c r="G65" s="1"/>
      <c r="I65" t="s">
        <v>36</v>
      </c>
      <c r="J65" s="1">
        <v>101300</v>
      </c>
      <c r="K65" s="1"/>
      <c r="M65" t="s">
        <v>36</v>
      </c>
      <c r="N65" s="1">
        <v>101300</v>
      </c>
      <c r="O65" s="1"/>
      <c r="Q65" t="s">
        <v>36</v>
      </c>
      <c r="R65" s="1">
        <v>101300</v>
      </c>
      <c r="S65" s="1"/>
      <c r="U65" t="s">
        <v>36</v>
      </c>
      <c r="V65" s="1">
        <v>101300</v>
      </c>
      <c r="W65" s="1"/>
      <c r="Y65" t="s">
        <v>36</v>
      </c>
      <c r="Z65" s="1">
        <v>101300</v>
      </c>
      <c r="AA65" s="1"/>
      <c r="AC65" t="s">
        <v>36</v>
      </c>
      <c r="AD65" s="1">
        <v>101300</v>
      </c>
      <c r="AE65" s="1"/>
      <c r="AG65" t="s">
        <v>36</v>
      </c>
      <c r="AH65" s="1">
        <v>101300</v>
      </c>
      <c r="AI65" s="1"/>
      <c r="AK65" t="s">
        <v>36</v>
      </c>
      <c r="AL65" s="1">
        <v>101300</v>
      </c>
      <c r="AM65" s="1"/>
      <c r="AO65" t="s">
        <v>36</v>
      </c>
      <c r="AP65" s="1">
        <v>101300</v>
      </c>
      <c r="AQ65" s="1"/>
      <c r="AS65" t="s">
        <v>36</v>
      </c>
      <c r="AT65" s="1">
        <v>101300</v>
      </c>
      <c r="AU65" s="1"/>
    </row>
    <row r="66" spans="1:47" x14ac:dyDescent="0.25">
      <c r="A66" t="s">
        <v>37</v>
      </c>
      <c r="B66" s="1">
        <v>50000</v>
      </c>
      <c r="C66" s="1"/>
      <c r="E66" t="s">
        <v>37</v>
      </c>
      <c r="F66" s="1">
        <v>50000</v>
      </c>
      <c r="G66" s="1"/>
      <c r="I66" t="s">
        <v>37</v>
      </c>
      <c r="J66" s="1">
        <v>50000</v>
      </c>
      <c r="K66" s="1"/>
      <c r="M66" t="s">
        <v>37</v>
      </c>
      <c r="N66" s="1">
        <v>50000</v>
      </c>
      <c r="O66" s="1"/>
      <c r="Q66" t="s">
        <v>37</v>
      </c>
      <c r="R66" s="1">
        <v>50000</v>
      </c>
      <c r="S66" s="1"/>
      <c r="U66" t="s">
        <v>37</v>
      </c>
      <c r="V66" s="1">
        <v>50000</v>
      </c>
      <c r="W66" s="1"/>
      <c r="Y66" t="s">
        <v>37</v>
      </c>
      <c r="Z66" s="1">
        <v>50000</v>
      </c>
      <c r="AA66" s="1"/>
      <c r="AC66" t="s">
        <v>37</v>
      </c>
      <c r="AD66" s="1">
        <v>50000</v>
      </c>
      <c r="AE66" s="1"/>
      <c r="AG66" t="s">
        <v>37</v>
      </c>
      <c r="AH66" s="1">
        <v>50000</v>
      </c>
      <c r="AI66" s="1"/>
      <c r="AK66" t="s">
        <v>37</v>
      </c>
      <c r="AL66" s="1">
        <v>50000</v>
      </c>
      <c r="AM66" s="1"/>
      <c r="AO66" t="s">
        <v>37</v>
      </c>
      <c r="AP66" s="1">
        <v>50000</v>
      </c>
      <c r="AQ66" s="1"/>
      <c r="AS66" t="s">
        <v>37</v>
      </c>
      <c r="AT66" s="1">
        <v>50000</v>
      </c>
      <c r="AU66" s="1"/>
    </row>
    <row r="67" spans="1:47" x14ac:dyDescent="0.25">
      <c r="A67" s="2"/>
      <c r="B67" s="3"/>
      <c r="C67" s="3">
        <f>SUM(B64:B66)</f>
        <v>651300</v>
      </c>
      <c r="E67" s="2"/>
      <c r="F67" s="3"/>
      <c r="G67" s="3">
        <f>SUM(F64:F66)</f>
        <v>651300</v>
      </c>
      <c r="I67" s="2"/>
      <c r="J67" s="3"/>
      <c r="K67" s="3">
        <f>SUM(J64:J66)</f>
        <v>651300</v>
      </c>
      <c r="M67" s="2"/>
      <c r="N67" s="3"/>
      <c r="O67" s="3">
        <f>SUM(N64:N66)</f>
        <v>651300</v>
      </c>
      <c r="Q67" s="2"/>
      <c r="R67" s="3"/>
      <c r="S67" s="3">
        <f>SUM(R64:R66)</f>
        <v>651300</v>
      </c>
      <c r="U67" s="2"/>
      <c r="V67" s="3"/>
      <c r="W67" s="3">
        <f>SUM(V64:V66)</f>
        <v>651300</v>
      </c>
      <c r="Y67" s="2"/>
      <c r="Z67" s="3"/>
      <c r="AA67" s="3">
        <f>SUM(Z64:Z66)</f>
        <v>651300</v>
      </c>
      <c r="AC67" s="2"/>
      <c r="AD67" s="3"/>
      <c r="AE67" s="3">
        <f>SUM(AD64:AD66)</f>
        <v>651300</v>
      </c>
      <c r="AG67" s="2"/>
      <c r="AH67" s="3"/>
      <c r="AI67" s="3">
        <f>SUM(AH64:AH66)</f>
        <v>651300</v>
      </c>
      <c r="AK67" s="2"/>
      <c r="AL67" s="3"/>
      <c r="AM67" s="3">
        <f>SUM(AL64:AL66)</f>
        <v>651300</v>
      </c>
      <c r="AO67" s="2"/>
      <c r="AP67" s="3"/>
      <c r="AQ67" s="3">
        <f>SUM(AP64:AP66)</f>
        <v>651300</v>
      </c>
      <c r="AS67" s="2"/>
      <c r="AT67" s="3"/>
      <c r="AU67" s="3">
        <f>SUM(AT64:AT66)</f>
        <v>651300</v>
      </c>
    </row>
    <row r="68" spans="1:47" x14ac:dyDescent="0.25">
      <c r="A68" s="2" t="s">
        <v>39</v>
      </c>
      <c r="B68" s="3"/>
      <c r="C68" s="3"/>
      <c r="E68" s="2" t="s">
        <v>39</v>
      </c>
      <c r="F68" s="3"/>
      <c r="G68" s="3"/>
      <c r="I68" s="2" t="s">
        <v>39</v>
      </c>
      <c r="J68" s="3"/>
      <c r="K68" s="3"/>
      <c r="M68" s="2" t="s">
        <v>39</v>
      </c>
      <c r="N68" s="3"/>
      <c r="O68" s="3"/>
      <c r="Q68" s="2" t="s">
        <v>39</v>
      </c>
      <c r="R68" s="3"/>
      <c r="S68" s="3"/>
      <c r="U68" s="2" t="s">
        <v>39</v>
      </c>
      <c r="V68" s="3"/>
      <c r="W68" s="3"/>
      <c r="Y68" s="2" t="s">
        <v>39</v>
      </c>
      <c r="Z68" s="3"/>
      <c r="AA68" s="3"/>
      <c r="AC68" s="2" t="s">
        <v>39</v>
      </c>
      <c r="AD68" s="3"/>
      <c r="AE68" s="3"/>
      <c r="AG68" s="2" t="s">
        <v>39</v>
      </c>
      <c r="AH68" s="3"/>
      <c r="AI68" s="3"/>
      <c r="AK68" s="2" t="s">
        <v>39</v>
      </c>
      <c r="AL68" s="3"/>
      <c r="AM68" s="3"/>
      <c r="AO68" s="2" t="s">
        <v>39</v>
      </c>
      <c r="AP68" s="3"/>
      <c r="AQ68" s="3"/>
      <c r="AS68" s="2" t="s">
        <v>39</v>
      </c>
      <c r="AT68" s="3"/>
      <c r="AU68" s="3"/>
    </row>
    <row r="69" spans="1:47" x14ac:dyDescent="0.25">
      <c r="A69" t="s">
        <v>40</v>
      </c>
      <c r="B69" s="1">
        <v>600000</v>
      </c>
      <c r="C69" s="1"/>
      <c r="E69" t="s">
        <v>40</v>
      </c>
      <c r="F69" s="1">
        <v>560000</v>
      </c>
      <c r="G69" s="1"/>
      <c r="I69" t="s">
        <v>40</v>
      </c>
      <c r="J69" s="1">
        <v>520000</v>
      </c>
      <c r="K69" s="1"/>
      <c r="M69" t="s">
        <v>40</v>
      </c>
      <c r="N69" s="1">
        <v>810000</v>
      </c>
      <c r="O69" s="1"/>
      <c r="Q69" t="s">
        <v>40</v>
      </c>
      <c r="R69" s="1">
        <v>770000</v>
      </c>
      <c r="S69" s="1"/>
      <c r="U69" t="s">
        <v>40</v>
      </c>
      <c r="V69" s="1">
        <v>730000</v>
      </c>
      <c r="W69" s="1"/>
      <c r="Y69" t="s">
        <v>40</v>
      </c>
      <c r="Z69" s="1">
        <v>940000</v>
      </c>
      <c r="AA69" s="1"/>
      <c r="AC69" t="s">
        <v>40</v>
      </c>
      <c r="AD69" s="1">
        <v>960000</v>
      </c>
      <c r="AE69" s="1"/>
      <c r="AG69" t="s">
        <v>40</v>
      </c>
      <c r="AH69" s="1">
        <v>1315000</v>
      </c>
      <c r="AI69" s="1"/>
      <c r="AK69" t="s">
        <v>40</v>
      </c>
      <c r="AL69" s="1">
        <v>720000</v>
      </c>
      <c r="AM69" s="1"/>
      <c r="AO69" t="s">
        <v>40</v>
      </c>
      <c r="AP69" s="1">
        <v>270000</v>
      </c>
      <c r="AQ69" s="1"/>
      <c r="AS69" t="s">
        <v>40</v>
      </c>
      <c r="AT69" s="1">
        <v>330000</v>
      </c>
      <c r="AU69" s="1"/>
    </row>
    <row r="70" spans="1:47" x14ac:dyDescent="0.25">
      <c r="A70" t="s">
        <v>242</v>
      </c>
      <c r="B70" s="1">
        <v>300000</v>
      </c>
      <c r="C70" s="1"/>
      <c r="E70" t="s">
        <v>242</v>
      </c>
      <c r="F70" s="1">
        <v>300000</v>
      </c>
      <c r="G70" s="1"/>
      <c r="I70" t="s">
        <v>242</v>
      </c>
      <c r="J70" s="1">
        <v>300000</v>
      </c>
      <c r="K70" s="1"/>
      <c r="M70" t="s">
        <v>242</v>
      </c>
      <c r="N70" s="1">
        <v>300000</v>
      </c>
      <c r="O70" s="1"/>
      <c r="Q70" t="s">
        <v>242</v>
      </c>
      <c r="R70" s="1">
        <v>300000</v>
      </c>
      <c r="S70" s="1"/>
      <c r="U70" t="s">
        <v>242</v>
      </c>
      <c r="V70" s="1">
        <v>300000</v>
      </c>
      <c r="W70" s="1"/>
      <c r="Y70" t="s">
        <v>242</v>
      </c>
      <c r="Z70" s="1">
        <v>300000</v>
      </c>
      <c r="AA70" s="1"/>
      <c r="AC70" t="s">
        <v>242</v>
      </c>
      <c r="AD70" s="1">
        <v>300000</v>
      </c>
      <c r="AE70" s="1"/>
      <c r="AG70" t="s">
        <v>242</v>
      </c>
      <c r="AH70" s="1">
        <v>300000</v>
      </c>
      <c r="AI70" s="1"/>
      <c r="AK70" t="s">
        <v>242</v>
      </c>
      <c r="AL70" s="1">
        <v>300000</v>
      </c>
      <c r="AM70" s="1"/>
      <c r="AO70" t="s">
        <v>242</v>
      </c>
      <c r="AP70" s="1">
        <v>300000</v>
      </c>
      <c r="AQ70" s="1"/>
      <c r="AS70" t="s">
        <v>242</v>
      </c>
      <c r="AT70" s="1">
        <v>300000</v>
      </c>
      <c r="AU70" s="1"/>
    </row>
    <row r="71" spans="1:47" x14ac:dyDescent="0.25">
      <c r="A71" t="s">
        <v>159</v>
      </c>
      <c r="B71" s="1">
        <v>150000</v>
      </c>
      <c r="C71" s="1"/>
      <c r="E71" t="s">
        <v>159</v>
      </c>
      <c r="F71" s="1">
        <v>130000</v>
      </c>
      <c r="G71" s="1"/>
      <c r="I71" t="s">
        <v>159</v>
      </c>
      <c r="J71" s="1">
        <v>110000</v>
      </c>
      <c r="K71" s="1"/>
      <c r="M71" t="s">
        <v>159</v>
      </c>
      <c r="N71" s="1">
        <v>90000</v>
      </c>
      <c r="O71" s="1"/>
      <c r="Q71" t="s">
        <v>159</v>
      </c>
      <c r="R71" s="1">
        <v>70000</v>
      </c>
      <c r="S71" s="1"/>
      <c r="U71" t="s">
        <v>159</v>
      </c>
      <c r="V71" s="1">
        <v>550000</v>
      </c>
      <c r="W71" s="1"/>
      <c r="Y71" t="s">
        <v>159</v>
      </c>
      <c r="Z71" s="1">
        <v>520000</v>
      </c>
      <c r="AA71" s="1"/>
      <c r="AC71" t="s">
        <v>159</v>
      </c>
      <c r="AD71" s="1">
        <v>490000</v>
      </c>
      <c r="AE71" s="1"/>
      <c r="AG71" t="s">
        <v>159</v>
      </c>
      <c r="AH71" s="1">
        <v>460000</v>
      </c>
      <c r="AI71" s="1"/>
      <c r="AK71" t="s">
        <v>159</v>
      </c>
      <c r="AL71" s="1">
        <v>400000</v>
      </c>
      <c r="AM71" s="1"/>
      <c r="AO71" t="s">
        <v>159</v>
      </c>
      <c r="AP71" s="1">
        <v>400000</v>
      </c>
      <c r="AQ71" s="1"/>
      <c r="AS71" t="s">
        <v>159</v>
      </c>
      <c r="AT71" s="1">
        <v>400000</v>
      </c>
      <c r="AU71" s="1"/>
    </row>
    <row r="72" spans="1:47" x14ac:dyDescent="0.25">
      <c r="A72" t="s">
        <v>94</v>
      </c>
      <c r="B72" s="1">
        <v>20000</v>
      </c>
      <c r="C72" s="1"/>
      <c r="E72" t="s">
        <v>94</v>
      </c>
      <c r="F72" s="1">
        <v>90000</v>
      </c>
      <c r="G72" s="1"/>
      <c r="I72" t="s">
        <v>94</v>
      </c>
      <c r="J72" s="1">
        <v>90000</v>
      </c>
      <c r="K72" s="1"/>
      <c r="M72" t="s">
        <v>94</v>
      </c>
      <c r="N72" s="1">
        <v>80000</v>
      </c>
      <c r="O72" s="1"/>
      <c r="Q72" t="s">
        <v>94</v>
      </c>
      <c r="R72" s="1">
        <v>70000</v>
      </c>
      <c r="S72" s="1"/>
      <c r="U72" t="s">
        <v>94</v>
      </c>
      <c r="V72" s="1">
        <v>60000</v>
      </c>
      <c r="W72" s="1"/>
      <c r="Y72" t="s">
        <v>94</v>
      </c>
      <c r="Z72" s="1">
        <v>50000</v>
      </c>
      <c r="AA72" s="1"/>
      <c r="AC72" t="s">
        <v>94</v>
      </c>
      <c r="AD72" s="1">
        <v>40000</v>
      </c>
      <c r="AE72" s="1"/>
      <c r="AG72" t="s">
        <v>94</v>
      </c>
      <c r="AH72" s="1">
        <v>30000</v>
      </c>
      <c r="AI72" s="1"/>
      <c r="AK72" t="s">
        <v>94</v>
      </c>
      <c r="AL72" s="1">
        <v>20000</v>
      </c>
      <c r="AM72" s="1"/>
      <c r="AO72" t="s">
        <v>94</v>
      </c>
      <c r="AP72" s="1">
        <v>10000</v>
      </c>
      <c r="AQ72" s="1"/>
      <c r="AS72" t="s">
        <v>94</v>
      </c>
      <c r="AT72" s="1"/>
      <c r="AU72" s="1"/>
    </row>
    <row r="73" spans="1:47" x14ac:dyDescent="0.25">
      <c r="A73" t="s">
        <v>277</v>
      </c>
      <c r="B73" s="1">
        <v>30000</v>
      </c>
      <c r="C73" s="1"/>
      <c r="E73" t="s">
        <v>277</v>
      </c>
      <c r="F73" s="1">
        <v>30000</v>
      </c>
      <c r="G73" s="1"/>
      <c r="I73" t="s">
        <v>277</v>
      </c>
      <c r="J73" s="1">
        <v>30000</v>
      </c>
      <c r="K73" s="1"/>
      <c r="M73" t="s">
        <v>306</v>
      </c>
      <c r="N73" s="1">
        <v>300000</v>
      </c>
      <c r="O73" s="1"/>
      <c r="Q73" t="s">
        <v>306</v>
      </c>
      <c r="R73" s="1">
        <v>300000</v>
      </c>
      <c r="S73" s="1"/>
      <c r="U73" t="s">
        <v>306</v>
      </c>
      <c r="V73" s="1">
        <v>300000</v>
      </c>
      <c r="W73" s="1"/>
      <c r="Y73" t="s">
        <v>306</v>
      </c>
      <c r="Z73" s="1">
        <v>300000</v>
      </c>
      <c r="AA73" s="1"/>
      <c r="AC73" t="s">
        <v>306</v>
      </c>
      <c r="AD73" s="1">
        <v>300000</v>
      </c>
      <c r="AE73" s="1"/>
      <c r="AG73" t="s">
        <v>306</v>
      </c>
      <c r="AH73" s="1">
        <v>300000</v>
      </c>
      <c r="AI73" s="1"/>
      <c r="AK73" t="s">
        <v>306</v>
      </c>
      <c r="AL73" s="1">
        <v>1500000</v>
      </c>
      <c r="AM73" s="1"/>
      <c r="AO73" t="s">
        <v>306</v>
      </c>
      <c r="AP73" s="1">
        <v>1500000</v>
      </c>
      <c r="AQ73" s="1"/>
      <c r="AS73" t="s">
        <v>306</v>
      </c>
      <c r="AT73" s="1">
        <v>1500000</v>
      </c>
      <c r="AU73" s="1"/>
    </row>
    <row r="74" spans="1:47" x14ac:dyDescent="0.25">
      <c r="A74" t="s">
        <v>154</v>
      </c>
      <c r="B74" s="1">
        <v>10000</v>
      </c>
      <c r="C74" s="1"/>
      <c r="E74" t="s">
        <v>154</v>
      </c>
      <c r="F74" s="1">
        <v>5000</v>
      </c>
      <c r="G74" s="1"/>
      <c r="I74" t="s">
        <v>305</v>
      </c>
      <c r="J74" s="1">
        <v>800000</v>
      </c>
      <c r="K74" s="1"/>
      <c r="M74" t="s">
        <v>305</v>
      </c>
      <c r="N74" s="1">
        <v>800000</v>
      </c>
      <c r="O74" s="1"/>
      <c r="Q74" t="s">
        <v>305</v>
      </c>
      <c r="R74" s="1">
        <v>800000</v>
      </c>
      <c r="S74" s="1"/>
      <c r="U74" t="s">
        <v>305</v>
      </c>
      <c r="V74" s="1">
        <v>800000</v>
      </c>
      <c r="W74" s="1"/>
      <c r="Y74" t="s">
        <v>305</v>
      </c>
      <c r="Z74" s="1">
        <v>800000</v>
      </c>
      <c r="AA74" s="1"/>
      <c r="AC74" t="s">
        <v>305</v>
      </c>
      <c r="AD74" s="1">
        <v>800000</v>
      </c>
      <c r="AE74" s="1"/>
      <c r="AG74" t="s">
        <v>305</v>
      </c>
      <c r="AH74" s="1">
        <v>800000</v>
      </c>
      <c r="AI74" s="1"/>
      <c r="AK74" t="s">
        <v>305</v>
      </c>
      <c r="AL74" s="1">
        <v>800000</v>
      </c>
      <c r="AM74" s="1"/>
      <c r="AO74" t="s">
        <v>305</v>
      </c>
      <c r="AP74" s="1">
        <v>800000</v>
      </c>
      <c r="AQ74" s="1"/>
      <c r="AS74" t="s">
        <v>305</v>
      </c>
      <c r="AT74" s="1">
        <v>800000</v>
      </c>
      <c r="AU74" s="1"/>
    </row>
    <row r="75" spans="1:47" x14ac:dyDescent="0.25">
      <c r="A75" t="s">
        <v>185</v>
      </c>
      <c r="B75" s="1">
        <v>0</v>
      </c>
      <c r="C75" s="1"/>
      <c r="E75" t="s">
        <v>185</v>
      </c>
      <c r="F75" s="1">
        <v>60000</v>
      </c>
      <c r="G75" s="1"/>
      <c r="I75" t="s">
        <v>185</v>
      </c>
      <c r="J75" s="1">
        <v>50000</v>
      </c>
      <c r="K75" s="1"/>
      <c r="M75" t="s">
        <v>185</v>
      </c>
      <c r="N75" s="1">
        <v>40000</v>
      </c>
      <c r="O75" s="1"/>
      <c r="Q75" t="s">
        <v>185</v>
      </c>
      <c r="R75" s="1">
        <v>30000</v>
      </c>
      <c r="S75" s="1"/>
      <c r="U75" t="s">
        <v>185</v>
      </c>
      <c r="V75" s="1">
        <v>20000</v>
      </c>
      <c r="W75" s="1"/>
      <c r="Y75" t="s">
        <v>185</v>
      </c>
      <c r="Z75" s="1">
        <v>10000</v>
      </c>
      <c r="AA75" s="1"/>
      <c r="AC75" t="s">
        <v>346</v>
      </c>
      <c r="AD75" s="1">
        <v>1500000</v>
      </c>
      <c r="AE75" s="1"/>
      <c r="AG75" t="s">
        <v>358</v>
      </c>
      <c r="AH75" s="1">
        <v>1500000</v>
      </c>
      <c r="AI75" s="1"/>
      <c r="AK75" t="s">
        <v>358</v>
      </c>
      <c r="AL75" s="1">
        <v>1500000</v>
      </c>
      <c r="AM75" s="1"/>
      <c r="AO75" t="s">
        <v>358</v>
      </c>
      <c r="AP75" s="1">
        <v>1500000</v>
      </c>
      <c r="AQ75" s="1"/>
      <c r="AS75" t="s">
        <v>358</v>
      </c>
      <c r="AT75" s="1">
        <v>1500000</v>
      </c>
      <c r="AU75" s="1"/>
    </row>
    <row r="76" spans="1:47" x14ac:dyDescent="0.25">
      <c r="A76" t="s">
        <v>184</v>
      </c>
      <c r="B76" s="1">
        <v>24500</v>
      </c>
      <c r="C76" s="1"/>
      <c r="E76" t="s">
        <v>184</v>
      </c>
      <c r="F76" s="1">
        <v>24500</v>
      </c>
      <c r="G76" s="1"/>
      <c r="I76" t="s">
        <v>184</v>
      </c>
      <c r="J76" s="1">
        <v>24500</v>
      </c>
      <c r="K76" s="1"/>
      <c r="M76" t="s">
        <v>184</v>
      </c>
      <c r="N76" s="1">
        <v>24500</v>
      </c>
      <c r="O76" s="1"/>
      <c r="Q76" t="s">
        <v>184</v>
      </c>
      <c r="R76" s="1">
        <v>24500</v>
      </c>
      <c r="S76" s="1"/>
      <c r="U76" t="s">
        <v>184</v>
      </c>
      <c r="V76" s="1">
        <v>24500</v>
      </c>
      <c r="W76" s="1"/>
      <c r="Y76" t="s">
        <v>184</v>
      </c>
      <c r="Z76" s="1">
        <v>24500</v>
      </c>
      <c r="AA76" s="1"/>
      <c r="AC76" t="s">
        <v>184</v>
      </c>
      <c r="AD76" s="1">
        <v>24500</v>
      </c>
      <c r="AE76" s="1"/>
      <c r="AG76" t="s">
        <v>184</v>
      </c>
      <c r="AH76" s="1">
        <v>24500</v>
      </c>
      <c r="AI76" s="1"/>
      <c r="AK76" t="s">
        <v>184</v>
      </c>
      <c r="AL76" s="1">
        <v>24500</v>
      </c>
      <c r="AM76" s="1"/>
      <c r="AO76" t="s">
        <v>184</v>
      </c>
      <c r="AP76" s="1">
        <v>24500</v>
      </c>
      <c r="AQ76" s="1"/>
      <c r="AS76" t="s">
        <v>184</v>
      </c>
      <c r="AT76" s="1">
        <v>24500</v>
      </c>
      <c r="AU76" s="1"/>
    </row>
    <row r="77" spans="1:47" x14ac:dyDescent="0.25">
      <c r="A77" t="s">
        <v>256</v>
      </c>
      <c r="B77" s="1">
        <v>60000</v>
      </c>
      <c r="C77" s="1"/>
      <c r="E77" t="s">
        <v>256</v>
      </c>
      <c r="F77" s="1">
        <v>50000</v>
      </c>
      <c r="G77" s="1"/>
      <c r="I77" t="s">
        <v>256</v>
      </c>
      <c r="J77" s="1">
        <v>40000</v>
      </c>
      <c r="K77" s="1"/>
      <c r="M77" t="s">
        <v>256</v>
      </c>
      <c r="N77" s="1">
        <v>30000</v>
      </c>
      <c r="O77" s="1"/>
      <c r="Q77" t="s">
        <v>256</v>
      </c>
      <c r="R77" s="1">
        <v>20000</v>
      </c>
      <c r="S77" s="1"/>
      <c r="U77" t="s">
        <v>256</v>
      </c>
      <c r="V77" s="1">
        <v>10000</v>
      </c>
      <c r="W77" s="1"/>
      <c r="Y77" t="s">
        <v>307</v>
      </c>
      <c r="Z77" s="1">
        <v>70000</v>
      </c>
      <c r="AA77" s="1"/>
      <c r="AC77" t="s">
        <v>307</v>
      </c>
      <c r="AD77" s="1">
        <v>60000</v>
      </c>
      <c r="AE77" s="1"/>
      <c r="AG77" t="s">
        <v>307</v>
      </c>
      <c r="AH77" s="1">
        <v>50000</v>
      </c>
      <c r="AI77" s="1"/>
      <c r="AK77" t="s">
        <v>307</v>
      </c>
      <c r="AL77" s="1">
        <v>40000</v>
      </c>
      <c r="AM77" s="1"/>
      <c r="AO77" t="s">
        <v>307</v>
      </c>
      <c r="AP77" s="1">
        <v>30000</v>
      </c>
      <c r="AQ77" s="1"/>
      <c r="AS77" t="s">
        <v>307</v>
      </c>
      <c r="AT77" s="1">
        <v>20000</v>
      </c>
      <c r="AU77" s="1"/>
    </row>
    <row r="78" spans="1:47" x14ac:dyDescent="0.25">
      <c r="A78" t="s">
        <v>241</v>
      </c>
      <c r="B78" s="1">
        <v>100000</v>
      </c>
      <c r="C78" s="1"/>
      <c r="E78" t="s">
        <v>241</v>
      </c>
      <c r="F78" s="1">
        <v>40000</v>
      </c>
      <c r="G78" s="1"/>
      <c r="I78" t="s">
        <v>241</v>
      </c>
      <c r="J78" s="1">
        <v>40000</v>
      </c>
      <c r="K78" s="1"/>
      <c r="M78" t="s">
        <v>307</v>
      </c>
      <c r="N78" s="1">
        <v>100000</v>
      </c>
      <c r="O78" s="1"/>
      <c r="Q78" t="s">
        <v>307</v>
      </c>
      <c r="R78" s="1">
        <v>90000</v>
      </c>
      <c r="S78" s="1"/>
      <c r="U78" t="s">
        <v>307</v>
      </c>
      <c r="V78" s="1">
        <v>80000</v>
      </c>
      <c r="W78" s="1"/>
      <c r="Z78" s="1">
        <v>0</v>
      </c>
      <c r="AA78" s="1"/>
      <c r="AD78" s="1">
        <v>0</v>
      </c>
      <c r="AE78" s="1"/>
      <c r="AH78" s="1">
        <v>0</v>
      </c>
      <c r="AI78" s="1"/>
      <c r="AK78" t="s">
        <v>384</v>
      </c>
      <c r="AL78" s="1">
        <v>3000</v>
      </c>
      <c r="AM78" s="1"/>
      <c r="AO78" t="s">
        <v>394</v>
      </c>
      <c r="AP78" s="1">
        <v>1200000</v>
      </c>
      <c r="AQ78" s="1"/>
      <c r="AS78" t="s">
        <v>394</v>
      </c>
      <c r="AT78" s="1">
        <v>1200000</v>
      </c>
      <c r="AU78" s="1"/>
    </row>
    <row r="79" spans="1:47" x14ac:dyDescent="0.25">
      <c r="A79" s="2"/>
      <c r="B79" s="3"/>
      <c r="C79" s="3">
        <f>SUM(B69:B78)</f>
        <v>1294500</v>
      </c>
      <c r="E79" s="2"/>
      <c r="F79" s="3"/>
      <c r="G79" s="3">
        <f>SUM(F69:F78)</f>
        <v>1289500</v>
      </c>
      <c r="I79" s="2"/>
      <c r="J79" s="3"/>
      <c r="K79" s="3">
        <f>SUM(J69:J78)</f>
        <v>2004500</v>
      </c>
      <c r="M79" t="s">
        <v>241</v>
      </c>
      <c r="N79" s="1">
        <v>20000</v>
      </c>
      <c r="O79" s="1"/>
      <c r="R79" s="1">
        <v>0</v>
      </c>
      <c r="S79" s="1"/>
      <c r="V79" s="1">
        <v>0</v>
      </c>
      <c r="W79" s="1"/>
      <c r="Y79" s="2"/>
      <c r="Z79" s="3"/>
      <c r="AA79" s="3">
        <f>SUM(Z69:Z78)</f>
        <v>3014500</v>
      </c>
      <c r="AC79" s="2"/>
      <c r="AD79" s="3"/>
      <c r="AE79" s="3">
        <f>SUM(AD69:AD78)</f>
        <v>4474500</v>
      </c>
      <c r="AG79" s="2"/>
      <c r="AH79" s="3"/>
      <c r="AI79" s="3">
        <f>SUM(AH69:AH78)</f>
        <v>4779500</v>
      </c>
      <c r="AK79" s="2"/>
      <c r="AL79" s="3"/>
      <c r="AM79" s="3">
        <f>SUM(AL69:AL78)</f>
        <v>5307500</v>
      </c>
      <c r="AO79" s="2"/>
      <c r="AP79" s="3"/>
      <c r="AQ79" s="3">
        <f>SUM(AP69:AP78)</f>
        <v>6034500</v>
      </c>
      <c r="AS79" s="2"/>
      <c r="AT79" s="3"/>
      <c r="AU79" s="3">
        <f>SUM(AT69:AT78)</f>
        <v>6074500</v>
      </c>
    </row>
    <row r="80" spans="1:47" x14ac:dyDescent="0.25">
      <c r="A80" s="2" t="s">
        <v>47</v>
      </c>
      <c r="B80" s="3"/>
      <c r="C80" s="3"/>
      <c r="E80" s="2" t="s">
        <v>47</v>
      </c>
      <c r="F80" s="3"/>
      <c r="G80" s="3"/>
      <c r="I80" s="2" t="s">
        <v>47</v>
      </c>
      <c r="J80" s="3"/>
      <c r="K80" s="3"/>
      <c r="M80" s="2"/>
      <c r="N80" s="3"/>
      <c r="O80" s="3">
        <f>SUM(N69:N79)</f>
        <v>2594500</v>
      </c>
      <c r="Q80" s="2"/>
      <c r="R80" s="3"/>
      <c r="S80" s="3">
        <f>SUM(R69:R79)</f>
        <v>2474500</v>
      </c>
      <c r="U80" s="2"/>
      <c r="V80" s="3"/>
      <c r="W80" s="3">
        <f>SUM(V69:V79)</f>
        <v>2874500</v>
      </c>
      <c r="Y80" s="2" t="s">
        <v>47</v>
      </c>
      <c r="Z80" s="3"/>
      <c r="AA80" s="3"/>
      <c r="AC80" s="2" t="s">
        <v>47</v>
      </c>
      <c r="AD80" s="3"/>
      <c r="AE80" s="3"/>
      <c r="AG80" s="2" t="s">
        <v>47</v>
      </c>
      <c r="AH80" s="3"/>
      <c r="AI80" s="3"/>
      <c r="AK80" s="2" t="s">
        <v>47</v>
      </c>
      <c r="AL80" s="3"/>
      <c r="AM80" s="3"/>
      <c r="AO80" s="2" t="s">
        <v>47</v>
      </c>
      <c r="AP80" s="3"/>
      <c r="AQ80" s="3"/>
      <c r="AS80" s="2" t="s">
        <v>47</v>
      </c>
      <c r="AT80" s="3"/>
      <c r="AU80" s="3"/>
    </row>
    <row r="81" spans="1:47" x14ac:dyDescent="0.25">
      <c r="A81" t="s">
        <v>48</v>
      </c>
      <c r="B81" s="1">
        <v>6408765</v>
      </c>
      <c r="C81" s="1"/>
      <c r="E81" t="s">
        <v>48</v>
      </c>
      <c r="F81" s="1">
        <v>6408765</v>
      </c>
      <c r="G81" s="1"/>
      <c r="I81" t="s">
        <v>48</v>
      </c>
      <c r="J81" s="1">
        <v>6408765</v>
      </c>
      <c r="K81" s="1"/>
      <c r="M81" s="2" t="s">
        <v>47</v>
      </c>
      <c r="N81" s="3"/>
      <c r="O81" s="3"/>
      <c r="Q81" s="2" t="s">
        <v>47</v>
      </c>
      <c r="R81" s="3"/>
      <c r="S81" s="3"/>
      <c r="U81" s="2" t="s">
        <v>47</v>
      </c>
      <c r="V81" s="3"/>
      <c r="W81" s="3"/>
      <c r="Y81" t="s">
        <v>48</v>
      </c>
      <c r="Z81" s="1">
        <v>6408765</v>
      </c>
      <c r="AA81" s="1"/>
      <c r="AC81" t="s">
        <v>48</v>
      </c>
      <c r="AD81" s="1">
        <v>6408765</v>
      </c>
      <c r="AE81" s="1"/>
      <c r="AG81" t="s">
        <v>48</v>
      </c>
      <c r="AH81" s="1">
        <v>6408765</v>
      </c>
      <c r="AI81" s="1"/>
      <c r="AK81" t="s">
        <v>48</v>
      </c>
      <c r="AL81" s="1">
        <v>6408765</v>
      </c>
      <c r="AM81" s="1"/>
      <c r="AO81" t="s">
        <v>48</v>
      </c>
      <c r="AP81" s="1">
        <v>6408765</v>
      </c>
      <c r="AQ81" s="1"/>
      <c r="AS81" t="s">
        <v>48</v>
      </c>
      <c r="AT81" s="1">
        <v>6408765</v>
      </c>
      <c r="AU81" s="1"/>
    </row>
    <row r="82" spans="1:47" x14ac:dyDescent="0.25">
      <c r="A82" t="s">
        <v>49</v>
      </c>
      <c r="B82" s="1">
        <v>149500</v>
      </c>
      <c r="C82" s="1"/>
      <c r="E82" t="s">
        <v>49</v>
      </c>
      <c r="F82" s="1">
        <v>149500</v>
      </c>
      <c r="G82" s="1"/>
      <c r="I82" t="s">
        <v>49</v>
      </c>
      <c r="J82" s="1">
        <v>149500</v>
      </c>
      <c r="K82" s="1"/>
      <c r="M82" t="s">
        <v>48</v>
      </c>
      <c r="N82" s="1">
        <v>6408765</v>
      </c>
      <c r="O82" s="1"/>
      <c r="Q82" t="s">
        <v>48</v>
      </c>
      <c r="R82" s="1">
        <v>6408765</v>
      </c>
      <c r="S82" s="1"/>
      <c r="U82" t="s">
        <v>48</v>
      </c>
      <c r="V82" s="1">
        <v>6408765</v>
      </c>
      <c r="W82" s="1"/>
      <c r="Y82" t="s">
        <v>49</v>
      </c>
      <c r="Z82" s="1">
        <v>149500</v>
      </c>
      <c r="AA82" s="1"/>
      <c r="AC82" t="s">
        <v>49</v>
      </c>
      <c r="AD82" s="1">
        <v>149500</v>
      </c>
      <c r="AE82" s="1"/>
      <c r="AG82" t="s">
        <v>49</v>
      </c>
      <c r="AH82" s="1">
        <v>149500</v>
      </c>
      <c r="AI82" s="1"/>
      <c r="AK82" t="s">
        <v>49</v>
      </c>
      <c r="AL82" s="1">
        <v>149500</v>
      </c>
      <c r="AM82" s="1"/>
      <c r="AO82" t="s">
        <v>49</v>
      </c>
      <c r="AP82" s="1">
        <v>149500</v>
      </c>
      <c r="AQ82" s="1"/>
      <c r="AS82" t="s">
        <v>49</v>
      </c>
      <c r="AT82" s="1">
        <v>149500</v>
      </c>
      <c r="AU82" s="1"/>
    </row>
    <row r="83" spans="1:47" x14ac:dyDescent="0.25">
      <c r="A83" t="s">
        <v>50</v>
      </c>
      <c r="B83" s="1">
        <v>8930616</v>
      </c>
      <c r="C83" s="1"/>
      <c r="E83" t="s">
        <v>50</v>
      </c>
      <c r="F83" s="1">
        <v>8930616</v>
      </c>
      <c r="G83" s="1"/>
      <c r="I83" t="s">
        <v>50</v>
      </c>
      <c r="J83" s="1">
        <v>8930616</v>
      </c>
      <c r="K83" s="1"/>
      <c r="M83" t="s">
        <v>49</v>
      </c>
      <c r="N83" s="1">
        <v>149500</v>
      </c>
      <c r="O83" s="1"/>
      <c r="Q83" t="s">
        <v>49</v>
      </c>
      <c r="R83" s="1">
        <v>149500</v>
      </c>
      <c r="S83" s="1"/>
      <c r="U83" t="s">
        <v>49</v>
      </c>
      <c r="V83" s="1">
        <v>149500</v>
      </c>
      <c r="W83" s="1"/>
      <c r="Y83" t="s">
        <v>50</v>
      </c>
      <c r="Z83" s="1">
        <v>8930616</v>
      </c>
      <c r="AA83" s="1"/>
      <c r="AC83" t="s">
        <v>50</v>
      </c>
      <c r="AD83" s="1">
        <v>8930616</v>
      </c>
      <c r="AE83" s="1"/>
      <c r="AG83" t="s">
        <v>50</v>
      </c>
      <c r="AH83" s="1">
        <v>8930616</v>
      </c>
      <c r="AI83" s="1"/>
      <c r="AK83" t="s">
        <v>50</v>
      </c>
      <c r="AL83" s="1">
        <v>8930616</v>
      </c>
      <c r="AM83" s="1"/>
      <c r="AO83" t="s">
        <v>50</v>
      </c>
      <c r="AP83" s="1">
        <v>8930616</v>
      </c>
      <c r="AQ83" s="1"/>
      <c r="AS83" t="s">
        <v>50</v>
      </c>
      <c r="AT83" s="1">
        <v>8930616</v>
      </c>
      <c r="AU83" s="1"/>
    </row>
    <row r="84" spans="1:47" x14ac:dyDescent="0.25">
      <c r="A84" t="s">
        <v>77</v>
      </c>
      <c r="B84" s="1">
        <v>2750000</v>
      </c>
      <c r="C84" s="1"/>
      <c r="E84" t="s">
        <v>77</v>
      </c>
      <c r="F84" s="1">
        <v>2750000</v>
      </c>
      <c r="G84" s="1"/>
      <c r="I84" t="s">
        <v>77</v>
      </c>
      <c r="J84" s="1">
        <v>2750000</v>
      </c>
      <c r="K84" s="1"/>
      <c r="M84" t="s">
        <v>50</v>
      </c>
      <c r="N84" s="1">
        <v>8930616</v>
      </c>
      <c r="O84" s="1"/>
      <c r="Q84" t="s">
        <v>50</v>
      </c>
      <c r="R84" s="1">
        <v>8930616</v>
      </c>
      <c r="S84" s="1"/>
      <c r="U84" t="s">
        <v>50</v>
      </c>
      <c r="V84" s="1">
        <v>8930616</v>
      </c>
      <c r="W84" s="1"/>
      <c r="Y84" t="s">
        <v>77</v>
      </c>
      <c r="Z84" s="1">
        <v>2750000</v>
      </c>
      <c r="AA84" s="1"/>
      <c r="AC84" t="s">
        <v>77</v>
      </c>
      <c r="AD84" s="1">
        <v>2750000</v>
      </c>
      <c r="AE84" s="1"/>
      <c r="AG84" t="s">
        <v>77</v>
      </c>
      <c r="AH84" s="1">
        <v>2750000</v>
      </c>
      <c r="AI84" s="1"/>
      <c r="AK84" t="s">
        <v>77</v>
      </c>
      <c r="AL84" s="1">
        <v>2750000</v>
      </c>
      <c r="AM84" s="1"/>
      <c r="AO84" t="s">
        <v>77</v>
      </c>
      <c r="AP84" s="1">
        <v>2750000</v>
      </c>
      <c r="AQ84" s="1"/>
      <c r="AS84" t="s">
        <v>77</v>
      </c>
      <c r="AT84" s="1">
        <v>2750000</v>
      </c>
      <c r="AU84" s="1"/>
    </row>
    <row r="85" spans="1:47" x14ac:dyDescent="0.25">
      <c r="A85" t="s">
        <v>276</v>
      </c>
      <c r="B85" s="1">
        <v>10000000</v>
      </c>
      <c r="C85" s="1"/>
      <c r="E85" t="s">
        <v>276</v>
      </c>
      <c r="F85" s="1">
        <v>5000000</v>
      </c>
      <c r="G85" s="1"/>
      <c r="I85" t="s">
        <v>276</v>
      </c>
      <c r="J85" s="1">
        <v>5000000</v>
      </c>
      <c r="K85" s="1"/>
      <c r="M85" t="s">
        <v>77</v>
      </c>
      <c r="N85" s="1">
        <v>2750000</v>
      </c>
      <c r="O85" s="1"/>
      <c r="Q85" t="s">
        <v>77</v>
      </c>
      <c r="R85" s="1">
        <v>2750000</v>
      </c>
      <c r="S85" s="1"/>
      <c r="U85" t="s">
        <v>77</v>
      </c>
      <c r="V85" s="1">
        <v>2750000</v>
      </c>
      <c r="W85" s="1"/>
      <c r="Y85" t="s">
        <v>276</v>
      </c>
      <c r="Z85" s="1">
        <v>2287200</v>
      </c>
      <c r="AA85" s="1"/>
      <c r="AC85" t="s">
        <v>276</v>
      </c>
      <c r="AD85" s="1">
        <v>2287200</v>
      </c>
      <c r="AE85" s="1"/>
      <c r="AG85" t="s">
        <v>276</v>
      </c>
      <c r="AH85" s="1">
        <v>2287200</v>
      </c>
      <c r="AI85" s="1"/>
      <c r="AK85" t="s">
        <v>276</v>
      </c>
      <c r="AL85" s="1">
        <v>2287200</v>
      </c>
      <c r="AM85" s="1"/>
      <c r="AO85" t="s">
        <v>276</v>
      </c>
      <c r="AP85" s="1">
        <v>2287200</v>
      </c>
      <c r="AQ85" s="1"/>
      <c r="AS85" t="s">
        <v>276</v>
      </c>
      <c r="AT85" s="1">
        <v>2287200</v>
      </c>
      <c r="AU85" s="1"/>
    </row>
    <row r="86" spans="1:47" x14ac:dyDescent="0.25">
      <c r="A86" t="s">
        <v>260</v>
      </c>
      <c r="B86" s="1">
        <v>30528000</v>
      </c>
      <c r="C86" s="1"/>
      <c r="E86" t="s">
        <v>260</v>
      </c>
      <c r="F86" s="1">
        <v>30528000</v>
      </c>
      <c r="G86" s="1"/>
      <c r="I86" t="s">
        <v>260</v>
      </c>
      <c r="J86" s="1">
        <v>30528000</v>
      </c>
      <c r="K86" s="1"/>
      <c r="M86" t="s">
        <v>276</v>
      </c>
      <c r="N86" s="1">
        <v>5000000</v>
      </c>
      <c r="O86" s="1"/>
      <c r="Q86" t="s">
        <v>317</v>
      </c>
      <c r="R86" s="1">
        <v>15000000</v>
      </c>
      <c r="S86" s="1"/>
      <c r="U86" t="s">
        <v>276</v>
      </c>
      <c r="V86" s="1">
        <v>28480000</v>
      </c>
      <c r="W86" s="1"/>
      <c r="Y86" t="s">
        <v>316</v>
      </c>
      <c r="Z86" s="1">
        <v>0</v>
      </c>
      <c r="AA86" s="1"/>
      <c r="AC86" t="s">
        <v>315</v>
      </c>
      <c r="AD86" s="1">
        <v>5853688</v>
      </c>
      <c r="AE86" s="1"/>
      <c r="AG86" t="s">
        <v>67</v>
      </c>
      <c r="AH86" s="1">
        <v>600900</v>
      </c>
      <c r="AI86" s="1"/>
      <c r="AK86" t="s">
        <v>385</v>
      </c>
      <c r="AL86" s="1">
        <v>10964480</v>
      </c>
      <c r="AM86" s="1"/>
      <c r="AO86" t="s">
        <v>392</v>
      </c>
      <c r="AP86" s="1">
        <v>3743420</v>
      </c>
      <c r="AQ86" s="1"/>
      <c r="AS86" t="s">
        <v>392</v>
      </c>
      <c r="AT86" s="1">
        <v>3743420</v>
      </c>
      <c r="AU86" s="1"/>
    </row>
    <row r="87" spans="1:47" x14ac:dyDescent="0.25">
      <c r="A87" t="s">
        <v>67</v>
      </c>
      <c r="B87" s="1">
        <v>600900</v>
      </c>
      <c r="C87" s="1"/>
      <c r="E87" t="s">
        <v>67</v>
      </c>
      <c r="F87" s="1">
        <v>600900</v>
      </c>
      <c r="G87" s="1"/>
      <c r="I87" t="s">
        <v>67</v>
      </c>
      <c r="J87" s="1">
        <v>600900</v>
      </c>
      <c r="K87" s="1"/>
      <c r="M87" t="s">
        <v>260</v>
      </c>
      <c r="N87" s="1">
        <v>4000000</v>
      </c>
      <c r="O87" s="1"/>
      <c r="Q87" t="s">
        <v>314</v>
      </c>
      <c r="R87" s="1">
        <v>400000</v>
      </c>
      <c r="S87" s="1"/>
      <c r="U87" t="s">
        <v>316</v>
      </c>
      <c r="V87" s="1">
        <v>66278106</v>
      </c>
      <c r="W87" s="1"/>
      <c r="Y87" t="s">
        <v>315</v>
      </c>
      <c r="Z87" s="1">
        <v>21178000</v>
      </c>
      <c r="AA87" s="1"/>
      <c r="AC87" t="s">
        <v>67</v>
      </c>
      <c r="AD87" s="1">
        <v>600900</v>
      </c>
      <c r="AE87" s="1"/>
      <c r="AG87" t="s">
        <v>53</v>
      </c>
      <c r="AH87" s="1">
        <v>9425529</v>
      </c>
      <c r="AI87" s="1"/>
      <c r="AL87" s="1"/>
      <c r="AM87" s="1"/>
      <c r="AP87" s="1"/>
      <c r="AQ87" s="1"/>
      <c r="AT87" s="1"/>
      <c r="AU87" s="1"/>
    </row>
    <row r="88" spans="1:47" x14ac:dyDescent="0.25">
      <c r="A88" t="s">
        <v>53</v>
      </c>
      <c r="B88" s="1">
        <v>13152729</v>
      </c>
      <c r="C88" s="3">
        <f>SUM(B81:B88)</f>
        <v>72520510</v>
      </c>
      <c r="E88" t="s">
        <v>53</v>
      </c>
      <c r="F88" s="1">
        <v>14425529</v>
      </c>
      <c r="G88" s="3">
        <f>SUM(F81:F88)</f>
        <v>68793310</v>
      </c>
      <c r="I88" t="s">
        <v>53</v>
      </c>
      <c r="J88" s="1">
        <v>14425529</v>
      </c>
      <c r="K88" s="3">
        <f>SUM(J81:J88)</f>
        <v>68793310</v>
      </c>
      <c r="M88" t="s">
        <v>67</v>
      </c>
      <c r="N88" s="1">
        <v>600900</v>
      </c>
      <c r="O88" s="1"/>
      <c r="Q88" t="s">
        <v>67</v>
      </c>
      <c r="R88" s="1">
        <v>600900</v>
      </c>
      <c r="S88" s="1"/>
      <c r="U88" t="s">
        <v>315</v>
      </c>
      <c r="V88" s="1">
        <v>21178000</v>
      </c>
      <c r="W88" s="1"/>
      <c r="Y88" t="s">
        <v>320</v>
      </c>
      <c r="Z88" s="1"/>
      <c r="AA88" s="1"/>
      <c r="AC88" t="s">
        <v>53</v>
      </c>
      <c r="AD88" s="1">
        <v>9425529</v>
      </c>
      <c r="AE88" s="3">
        <f>SUM(AD81:AD88)</f>
        <v>36406198</v>
      </c>
      <c r="AG88" s="2"/>
      <c r="AH88" s="3"/>
      <c r="AI88" s="3">
        <f>SUM(AH81:AH87)</f>
        <v>30552510</v>
      </c>
      <c r="AL88" s="1"/>
      <c r="AM88" s="1"/>
      <c r="AP88" s="1"/>
      <c r="AQ88" s="1"/>
      <c r="AT88" s="1"/>
      <c r="AU88" s="1"/>
    </row>
    <row r="89" spans="1:47" x14ac:dyDescent="0.25">
      <c r="A89" s="2"/>
      <c r="B89" s="3"/>
      <c r="C89" s="3"/>
      <c r="E89" s="2"/>
      <c r="F89" s="3"/>
      <c r="G89" s="3"/>
      <c r="I89" s="2"/>
      <c r="J89" s="3"/>
      <c r="K89" s="3"/>
      <c r="M89" t="s">
        <v>53</v>
      </c>
      <c r="N89" s="1">
        <v>14425529</v>
      </c>
      <c r="O89" s="3">
        <f>SUM(N82:N89)</f>
        <v>42265310</v>
      </c>
      <c r="Q89" t="s">
        <v>53</v>
      </c>
      <c r="R89" s="1">
        <v>9425529</v>
      </c>
      <c r="S89" s="3">
        <f>SUM(R82:R89)</f>
        <v>43665310</v>
      </c>
      <c r="U89" t="s">
        <v>320</v>
      </c>
      <c r="V89" s="1">
        <v>600000</v>
      </c>
      <c r="W89" s="1"/>
      <c r="Y89" t="s">
        <v>67</v>
      </c>
      <c r="Z89" s="1">
        <v>600900</v>
      </c>
      <c r="AA89" s="1"/>
      <c r="AC89" s="2"/>
      <c r="AD89" s="3"/>
      <c r="AE89" s="3"/>
      <c r="AG89" s="2" t="s">
        <v>54</v>
      </c>
      <c r="AH89" s="3"/>
      <c r="AI89" s="3"/>
      <c r="AK89" t="s">
        <v>67</v>
      </c>
      <c r="AL89" s="1">
        <v>600900</v>
      </c>
      <c r="AM89" s="1"/>
      <c r="AO89" t="s">
        <v>67</v>
      </c>
      <c r="AP89" s="1">
        <v>600900</v>
      </c>
      <c r="AQ89" s="1"/>
      <c r="AS89" t="s">
        <v>67</v>
      </c>
      <c r="AT89" s="1">
        <v>600900</v>
      </c>
      <c r="AU89" s="1"/>
    </row>
    <row r="90" spans="1:47" x14ac:dyDescent="0.25">
      <c r="A90" s="2" t="s">
        <v>54</v>
      </c>
      <c r="B90" s="3"/>
      <c r="C90" s="1"/>
      <c r="E90" s="2" t="s">
        <v>54</v>
      </c>
      <c r="F90" s="3"/>
      <c r="G90" s="1"/>
      <c r="I90" s="2" t="s">
        <v>54</v>
      </c>
      <c r="J90" s="3"/>
      <c r="K90" s="1"/>
      <c r="M90" s="2"/>
      <c r="N90" s="3"/>
      <c r="O90" s="3"/>
      <c r="Q90" s="2"/>
      <c r="R90" s="3"/>
      <c r="S90" s="3"/>
      <c r="U90" t="s">
        <v>67</v>
      </c>
      <c r="V90" s="1">
        <v>600900</v>
      </c>
      <c r="W90" s="1"/>
      <c r="Y90" t="s">
        <v>53</v>
      </c>
      <c r="Z90" s="1">
        <v>9425529</v>
      </c>
      <c r="AA90" s="3">
        <f>SUM(Z81:Z90)</f>
        <v>51730510</v>
      </c>
      <c r="AC90" s="2" t="s">
        <v>54</v>
      </c>
      <c r="AD90" s="3"/>
      <c r="AE90" s="1"/>
      <c r="AG90" t="s">
        <v>55</v>
      </c>
      <c r="AH90" s="1">
        <v>93242000</v>
      </c>
      <c r="AI90" s="1"/>
      <c r="AK90" t="s">
        <v>53</v>
      </c>
      <c r="AL90" s="1">
        <v>9425529</v>
      </c>
      <c r="AM90" s="3">
        <f>SUM(AL81:AL90)</f>
        <v>41516990</v>
      </c>
      <c r="AO90" t="s">
        <v>53</v>
      </c>
      <c r="AP90" s="1">
        <v>9425529</v>
      </c>
      <c r="AQ90" s="3">
        <f>SUM(AP81:AP90)</f>
        <v>34295930</v>
      </c>
      <c r="AS90" t="s">
        <v>53</v>
      </c>
      <c r="AT90" s="1">
        <v>9425529</v>
      </c>
      <c r="AU90" s="3">
        <f>SUM(AT81:AT90)</f>
        <v>34295930</v>
      </c>
    </row>
    <row r="91" spans="1:47" x14ac:dyDescent="0.25">
      <c r="A91" t="s">
        <v>55</v>
      </c>
      <c r="B91" s="1">
        <v>93242000</v>
      </c>
      <c r="C91" s="1"/>
      <c r="E91" t="s">
        <v>55</v>
      </c>
      <c r="F91" s="1">
        <v>93242000</v>
      </c>
      <c r="G91" s="1"/>
      <c r="I91" t="s">
        <v>55</v>
      </c>
      <c r="J91" s="1">
        <v>93242000</v>
      </c>
      <c r="K91" s="1"/>
      <c r="M91" s="2" t="s">
        <v>54</v>
      </c>
      <c r="N91" s="3"/>
      <c r="O91" s="1"/>
      <c r="Q91" s="2" t="s">
        <v>54</v>
      </c>
      <c r="R91" s="3"/>
      <c r="S91" s="1"/>
      <c r="U91" t="s">
        <v>53</v>
      </c>
      <c r="V91" s="1">
        <v>9425529</v>
      </c>
      <c r="W91" s="3">
        <f>SUM(V82:V91)</f>
        <v>144801416</v>
      </c>
      <c r="Y91" s="2"/>
      <c r="Z91" s="3"/>
      <c r="AA91" s="3"/>
      <c r="AC91" t="s">
        <v>55</v>
      </c>
      <c r="AD91" s="1">
        <v>93242000</v>
      </c>
      <c r="AE91" s="1"/>
      <c r="AG91" t="s">
        <v>93</v>
      </c>
      <c r="AH91" s="1">
        <v>6972416</v>
      </c>
      <c r="AI91" s="1"/>
      <c r="AK91" s="2"/>
      <c r="AL91" s="3"/>
      <c r="AM91" s="3"/>
      <c r="AO91" s="2"/>
      <c r="AP91" s="3"/>
      <c r="AQ91" s="3"/>
      <c r="AS91" s="2"/>
      <c r="AT91" s="3"/>
      <c r="AU91" s="3"/>
    </row>
    <row r="92" spans="1:47" x14ac:dyDescent="0.25">
      <c r="A92" t="s">
        <v>93</v>
      </c>
      <c r="B92" s="1">
        <v>6972416</v>
      </c>
      <c r="C92" s="1"/>
      <c r="E92" t="s">
        <v>93</v>
      </c>
      <c r="F92" s="1">
        <v>6972416</v>
      </c>
      <c r="G92" s="1"/>
      <c r="I92" t="s">
        <v>93</v>
      </c>
      <c r="J92" s="1">
        <v>6972416</v>
      </c>
      <c r="K92" s="1"/>
      <c r="M92" t="s">
        <v>55</v>
      </c>
      <c r="N92" s="1">
        <v>93242000</v>
      </c>
      <c r="O92" s="1"/>
      <c r="Q92" t="s">
        <v>55</v>
      </c>
      <c r="R92" s="1">
        <v>93242000</v>
      </c>
      <c r="S92" s="1"/>
      <c r="U92" s="2"/>
      <c r="V92" s="3"/>
      <c r="W92" s="3"/>
      <c r="Y92" s="2" t="s">
        <v>54</v>
      </c>
      <c r="Z92" s="3"/>
      <c r="AA92" s="1"/>
      <c r="AC92" t="s">
        <v>93</v>
      </c>
      <c r="AD92" s="1">
        <v>6972416</v>
      </c>
      <c r="AE92" s="1"/>
      <c r="AG92" t="s">
        <v>56</v>
      </c>
      <c r="AH92" s="1">
        <v>56448</v>
      </c>
      <c r="AI92" s="1"/>
      <c r="AK92" s="2" t="s">
        <v>54</v>
      </c>
      <c r="AL92" s="3"/>
      <c r="AM92" s="1"/>
      <c r="AO92" s="2" t="s">
        <v>54</v>
      </c>
      <c r="AP92" s="3"/>
      <c r="AQ92" s="1"/>
      <c r="AS92" s="2" t="s">
        <v>54</v>
      </c>
      <c r="AT92" s="3"/>
      <c r="AU92" s="1"/>
    </row>
    <row r="93" spans="1:47" x14ac:dyDescent="0.25">
      <c r="A93" t="s">
        <v>56</v>
      </c>
      <c r="B93" s="1">
        <v>56448</v>
      </c>
      <c r="C93" s="1"/>
      <c r="E93" t="s">
        <v>56</v>
      </c>
      <c r="F93" s="1">
        <v>56448</v>
      </c>
      <c r="G93" s="1"/>
      <c r="I93" t="s">
        <v>56</v>
      </c>
      <c r="J93" s="1">
        <v>56448</v>
      </c>
      <c r="K93" s="1"/>
      <c r="M93" t="s">
        <v>93</v>
      </c>
      <c r="N93" s="1">
        <v>6972416</v>
      </c>
      <c r="O93" s="1"/>
      <c r="Q93" t="s">
        <v>93</v>
      </c>
      <c r="R93" s="1">
        <v>6972416</v>
      </c>
      <c r="S93" s="1"/>
      <c r="U93" s="2" t="s">
        <v>54</v>
      </c>
      <c r="V93" s="3"/>
      <c r="W93" s="1"/>
      <c r="Y93" t="s">
        <v>55</v>
      </c>
      <c r="Z93" s="1">
        <v>93242000</v>
      </c>
      <c r="AA93" s="1"/>
      <c r="AC93" t="s">
        <v>56</v>
      </c>
      <c r="AD93" s="1">
        <v>56448</v>
      </c>
      <c r="AE93" s="1"/>
      <c r="AG93" t="s">
        <v>57</v>
      </c>
      <c r="AH93" s="1">
        <v>5625000</v>
      </c>
      <c r="AI93" s="1"/>
      <c r="AK93" t="s">
        <v>55</v>
      </c>
      <c r="AL93" s="1">
        <v>93242000</v>
      </c>
      <c r="AM93" s="1"/>
      <c r="AO93" t="s">
        <v>55</v>
      </c>
      <c r="AP93" s="1">
        <v>93242000</v>
      </c>
      <c r="AQ93" s="1"/>
      <c r="AS93" t="s">
        <v>55</v>
      </c>
      <c r="AT93" s="1">
        <v>93242000</v>
      </c>
      <c r="AU93" s="1"/>
    </row>
    <row r="94" spans="1:47" x14ac:dyDescent="0.25">
      <c r="A94" t="s">
        <v>57</v>
      </c>
      <c r="B94" s="1">
        <v>5625000</v>
      </c>
      <c r="C94" s="1"/>
      <c r="E94" t="s">
        <v>57</v>
      </c>
      <c r="F94" s="1">
        <v>5625000</v>
      </c>
      <c r="G94" s="1"/>
      <c r="I94" t="s">
        <v>57</v>
      </c>
      <c r="J94" s="1">
        <v>5625000</v>
      </c>
      <c r="K94" s="1"/>
      <c r="M94" t="s">
        <v>56</v>
      </c>
      <c r="N94" s="1">
        <v>56448</v>
      </c>
      <c r="O94" s="1"/>
      <c r="Q94" t="s">
        <v>56</v>
      </c>
      <c r="R94" s="1">
        <v>56448</v>
      </c>
      <c r="S94" s="1"/>
      <c r="U94" t="s">
        <v>55</v>
      </c>
      <c r="V94" s="1">
        <v>93242000</v>
      </c>
      <c r="W94" s="1"/>
      <c r="Y94" t="s">
        <v>93</v>
      </c>
      <c r="Z94" s="1">
        <v>6972416</v>
      </c>
      <c r="AA94" s="1"/>
      <c r="AC94" t="s">
        <v>57</v>
      </c>
      <c r="AD94" s="1">
        <v>5625000</v>
      </c>
      <c r="AE94" s="1"/>
      <c r="AG94" t="s">
        <v>58</v>
      </c>
      <c r="AH94" s="1">
        <v>534750</v>
      </c>
      <c r="AI94" s="1"/>
      <c r="AK94" t="s">
        <v>93</v>
      </c>
      <c r="AL94" s="1">
        <v>6972416</v>
      </c>
      <c r="AM94" s="1"/>
      <c r="AO94" t="s">
        <v>93</v>
      </c>
      <c r="AP94" s="1">
        <v>6972416</v>
      </c>
      <c r="AQ94" s="1"/>
      <c r="AS94" t="s">
        <v>93</v>
      </c>
      <c r="AT94" s="1">
        <v>6972416</v>
      </c>
      <c r="AU94" s="1"/>
    </row>
    <row r="95" spans="1:47" x14ac:dyDescent="0.25">
      <c r="A95" t="s">
        <v>58</v>
      </c>
      <c r="B95" s="1">
        <v>534750</v>
      </c>
      <c r="C95" s="1">
        <f>SUM(B91:B95)</f>
        <v>106430614</v>
      </c>
      <c r="E95" t="s">
        <v>58</v>
      </c>
      <c r="F95" s="1">
        <v>534750</v>
      </c>
      <c r="G95" s="1">
        <f>SUM(F91:F95)</f>
        <v>106430614</v>
      </c>
      <c r="I95" t="s">
        <v>58</v>
      </c>
      <c r="J95" s="1">
        <v>534750</v>
      </c>
      <c r="K95" s="1">
        <f>SUM(J91:J95)</f>
        <v>106430614</v>
      </c>
      <c r="M95" t="s">
        <v>57</v>
      </c>
      <c r="N95" s="1">
        <v>5625000</v>
      </c>
      <c r="O95" s="1"/>
      <c r="Q95" t="s">
        <v>57</v>
      </c>
      <c r="R95" s="1">
        <v>5625000</v>
      </c>
      <c r="S95" s="1"/>
      <c r="U95" t="s">
        <v>93</v>
      </c>
      <c r="V95" s="1">
        <v>6972416</v>
      </c>
      <c r="W95" s="1"/>
      <c r="Y95" t="s">
        <v>56</v>
      </c>
      <c r="Z95" s="1">
        <v>56448</v>
      </c>
      <c r="AA95" s="1"/>
      <c r="AC95" t="s">
        <v>58</v>
      </c>
      <c r="AD95" s="1">
        <v>534750</v>
      </c>
      <c r="AE95" s="1">
        <f>SUM(AD91:AD95)</f>
        <v>106430614</v>
      </c>
      <c r="AH95" s="1"/>
      <c r="AI95" s="1">
        <f>SUM(AH90:AH94)</f>
        <v>106430614</v>
      </c>
      <c r="AK95" t="s">
        <v>56</v>
      </c>
      <c r="AL95" s="1">
        <v>56448</v>
      </c>
      <c r="AM95" s="1"/>
      <c r="AO95" t="s">
        <v>56</v>
      </c>
      <c r="AP95" s="1">
        <v>56448</v>
      </c>
      <c r="AQ95" s="1"/>
      <c r="AS95" t="s">
        <v>56</v>
      </c>
      <c r="AT95" s="1">
        <v>206448</v>
      </c>
      <c r="AU95" s="1"/>
    </row>
    <row r="96" spans="1:47" x14ac:dyDescent="0.25">
      <c r="B96" s="1"/>
      <c r="C96" s="3">
        <f>SUM(C56:C95)</f>
        <v>334661175</v>
      </c>
      <c r="F96" s="1"/>
      <c r="G96" s="3">
        <f>SUM(G56:G95)</f>
        <v>320426330</v>
      </c>
      <c r="J96" s="1"/>
      <c r="K96" s="3">
        <f>SUM(K56:K95)</f>
        <v>293412450</v>
      </c>
      <c r="M96" t="s">
        <v>58</v>
      </c>
      <c r="N96" s="1">
        <v>534750</v>
      </c>
      <c r="O96" s="1">
        <f>SUM(N92:N96)</f>
        <v>106430614</v>
      </c>
      <c r="Q96" t="s">
        <v>58</v>
      </c>
      <c r="R96" s="1">
        <v>534750</v>
      </c>
      <c r="S96" s="1">
        <f>SUM(R92:R96)</f>
        <v>106430614</v>
      </c>
      <c r="U96" t="s">
        <v>56</v>
      </c>
      <c r="V96" s="1">
        <v>56448</v>
      </c>
      <c r="W96" s="1"/>
      <c r="Y96" t="s">
        <v>57</v>
      </c>
      <c r="Z96" s="1">
        <v>5625000</v>
      </c>
      <c r="AA96" s="1"/>
      <c r="AD96" s="1"/>
      <c r="AE96" s="3">
        <f>SUM(AE56:AE95)</f>
        <v>363585410</v>
      </c>
      <c r="AG96" s="2"/>
      <c r="AH96" s="3"/>
      <c r="AI96" s="3">
        <f>SUM(AI56:AI95)</f>
        <v>357902435</v>
      </c>
      <c r="AK96" t="s">
        <v>57</v>
      </c>
      <c r="AL96" s="1">
        <v>5625000</v>
      </c>
      <c r="AM96" s="1"/>
      <c r="AO96" t="s">
        <v>57</v>
      </c>
      <c r="AP96" s="1">
        <v>5625000</v>
      </c>
      <c r="AQ96" s="1"/>
      <c r="AS96" t="s">
        <v>57</v>
      </c>
      <c r="AT96" s="1">
        <v>5625000</v>
      </c>
      <c r="AU96" s="1"/>
    </row>
    <row r="97" spans="1:47" x14ac:dyDescent="0.25">
      <c r="A97" s="2"/>
      <c r="B97" s="3"/>
      <c r="C97" s="3"/>
      <c r="E97" s="2"/>
      <c r="F97" s="3"/>
      <c r="G97" s="3"/>
      <c r="I97" s="2"/>
      <c r="J97" s="3"/>
      <c r="K97" s="3"/>
      <c r="N97" s="1"/>
      <c r="O97" s="3">
        <f>SUM(O56:O96)</f>
        <v>242834450</v>
      </c>
      <c r="R97" s="1"/>
      <c r="S97" s="3">
        <f>SUM(S56:S96)</f>
        <v>305602536</v>
      </c>
      <c r="U97" t="s">
        <v>57</v>
      </c>
      <c r="V97" s="1">
        <v>5625000</v>
      </c>
      <c r="W97" s="1"/>
      <c r="Y97" t="s">
        <v>58</v>
      </c>
      <c r="Z97" s="1">
        <v>534750</v>
      </c>
      <c r="AA97" s="1">
        <f>SUM(Z93:Z97)</f>
        <v>106430614</v>
      </c>
      <c r="AC97" s="2"/>
      <c r="AD97" s="3"/>
      <c r="AE97" s="3"/>
      <c r="AG97" s="2" t="s">
        <v>59</v>
      </c>
      <c r="AH97" s="3"/>
      <c r="AI97" s="3"/>
      <c r="AK97" t="s">
        <v>58</v>
      </c>
      <c r="AL97" s="1">
        <v>534750</v>
      </c>
      <c r="AM97" s="1">
        <f>SUM(AL93:AL97)</f>
        <v>106430614</v>
      </c>
      <c r="AO97" t="s">
        <v>58</v>
      </c>
      <c r="AP97" s="1">
        <v>534750</v>
      </c>
      <c r="AQ97" s="1">
        <f>SUM(AP93:AP97)</f>
        <v>106430614</v>
      </c>
      <c r="AS97" t="s">
        <v>58</v>
      </c>
      <c r="AT97" s="1">
        <v>534750</v>
      </c>
      <c r="AU97" s="1">
        <f>SUM(AT93:AT97)</f>
        <v>106580614</v>
      </c>
    </row>
    <row r="98" spans="1:47" x14ac:dyDescent="0.25">
      <c r="A98" s="2" t="s">
        <v>59</v>
      </c>
      <c r="B98" s="3"/>
      <c r="C98" s="3"/>
      <c r="E98" s="2" t="s">
        <v>59</v>
      </c>
      <c r="F98" s="3"/>
      <c r="G98" s="3"/>
      <c r="I98" s="2" t="s">
        <v>59</v>
      </c>
      <c r="J98" s="3"/>
      <c r="K98" s="3"/>
      <c r="M98" s="2"/>
      <c r="N98" s="3"/>
      <c r="O98" s="3"/>
      <c r="Q98" s="2"/>
      <c r="R98" s="3"/>
      <c r="S98" s="3"/>
      <c r="U98" t="s">
        <v>58</v>
      </c>
      <c r="V98" s="1">
        <v>534750</v>
      </c>
      <c r="W98" s="1">
        <f>SUM(V94:V98)</f>
        <v>106430614</v>
      </c>
      <c r="Z98" s="1"/>
      <c r="AA98" s="3">
        <f>SUM(AA56:AA97)</f>
        <v>307485535</v>
      </c>
      <c r="AC98" s="2" t="s">
        <v>59</v>
      </c>
      <c r="AD98" s="3"/>
      <c r="AE98" s="3"/>
      <c r="AG98" t="s">
        <v>60</v>
      </c>
      <c r="AH98" s="1"/>
      <c r="AI98" s="1">
        <v>49119258</v>
      </c>
      <c r="AL98" s="1"/>
      <c r="AM98" s="3">
        <f>SUM(AM56:AM97)</f>
        <v>397910035.05000001</v>
      </c>
      <c r="AP98" s="1"/>
      <c r="AQ98" s="3">
        <f>SUM(AQ56:AQ97)</f>
        <v>347124218.61000001</v>
      </c>
      <c r="AT98" s="1"/>
      <c r="AU98" s="3">
        <f>SUM(AU56:AU97)</f>
        <v>348902285</v>
      </c>
    </row>
    <row r="99" spans="1:47" x14ac:dyDescent="0.25">
      <c r="A99" t="s">
        <v>60</v>
      </c>
      <c r="B99" s="1"/>
      <c r="C99" s="1">
        <v>69969500</v>
      </c>
      <c r="E99" t="s">
        <v>60</v>
      </c>
      <c r="F99" s="1"/>
      <c r="G99" s="1">
        <v>66439500</v>
      </c>
      <c r="I99" t="s">
        <v>60</v>
      </c>
      <c r="J99" s="1"/>
      <c r="K99" s="1">
        <v>63033500</v>
      </c>
      <c r="M99" s="2" t="s">
        <v>59</v>
      </c>
      <c r="N99" s="3"/>
      <c r="O99" s="3"/>
      <c r="Q99" s="2" t="s">
        <v>59</v>
      </c>
      <c r="R99" s="3"/>
      <c r="S99" s="3"/>
      <c r="V99" s="1"/>
      <c r="W99" s="3">
        <f>SUM(W56:W98)</f>
        <v>395648626.20999998</v>
      </c>
      <c r="Y99" s="2"/>
      <c r="Z99" s="3"/>
      <c r="AA99" s="3"/>
      <c r="AC99" t="s">
        <v>60</v>
      </c>
      <c r="AD99" s="1"/>
      <c r="AE99" s="1">
        <v>49119258</v>
      </c>
      <c r="AG99" t="s">
        <v>65</v>
      </c>
      <c r="AH99" s="1"/>
      <c r="AI99" s="1"/>
      <c r="AK99" s="2"/>
      <c r="AL99" s="3"/>
      <c r="AM99" s="3"/>
      <c r="AO99" s="2"/>
      <c r="AP99" s="3"/>
      <c r="AQ99" s="3"/>
      <c r="AS99" s="2"/>
      <c r="AT99" s="3"/>
      <c r="AU99" s="3"/>
    </row>
    <row r="100" spans="1:47" x14ac:dyDescent="0.25">
      <c r="A100" t="s">
        <v>65</v>
      </c>
      <c r="B100" s="1"/>
      <c r="C100" s="1">
        <v>0</v>
      </c>
      <c r="E100" t="s">
        <v>65</v>
      </c>
      <c r="F100" s="1"/>
      <c r="G100" s="1">
        <v>0</v>
      </c>
      <c r="I100" t="s">
        <v>65</v>
      </c>
      <c r="J100" s="1"/>
      <c r="K100" s="1">
        <v>11942800</v>
      </c>
      <c r="M100" t="s">
        <v>60</v>
      </c>
      <c r="N100" s="1"/>
      <c r="O100" s="1">
        <v>59399500</v>
      </c>
      <c r="Q100" t="s">
        <v>60</v>
      </c>
      <c r="R100" s="1"/>
      <c r="S100" s="1">
        <v>55966460</v>
      </c>
      <c r="U100" s="2"/>
      <c r="V100" s="3"/>
      <c r="W100" s="3"/>
      <c r="Y100" s="2" t="s">
        <v>59</v>
      </c>
      <c r="Z100" s="3"/>
      <c r="AA100" s="3"/>
      <c r="AC100" t="s">
        <v>65</v>
      </c>
      <c r="AD100" s="1"/>
      <c r="AE100" s="1">
        <v>38939160</v>
      </c>
      <c r="AG100" t="s">
        <v>357</v>
      </c>
      <c r="AH100" s="1"/>
      <c r="AI100" s="1">
        <v>40314222</v>
      </c>
      <c r="AK100" s="2" t="s">
        <v>59</v>
      </c>
      <c r="AL100" s="3"/>
      <c r="AM100" s="3"/>
      <c r="AO100" s="2" t="s">
        <v>59</v>
      </c>
      <c r="AP100" s="3"/>
      <c r="AQ100" s="3"/>
      <c r="AS100" s="2" t="s">
        <v>59</v>
      </c>
      <c r="AT100" s="3"/>
      <c r="AU100" s="3"/>
    </row>
    <row r="101" spans="1:47" x14ac:dyDescent="0.25">
      <c r="A101" t="s">
        <v>61</v>
      </c>
      <c r="B101" s="1"/>
      <c r="C101" s="1">
        <v>1966293</v>
      </c>
      <c r="E101" t="s">
        <v>61</v>
      </c>
      <c r="F101" s="1"/>
      <c r="G101" s="1">
        <v>1966293</v>
      </c>
      <c r="I101" t="s">
        <v>61</v>
      </c>
      <c r="J101" s="1"/>
      <c r="K101" s="1">
        <v>1966293</v>
      </c>
      <c r="M101" t="s">
        <v>65</v>
      </c>
      <c r="N101" s="1"/>
      <c r="O101" s="1">
        <v>0</v>
      </c>
      <c r="Q101" t="s">
        <v>65</v>
      </c>
      <c r="R101" s="1"/>
      <c r="S101" s="1">
        <v>56665780</v>
      </c>
      <c r="U101" s="2" t="s">
        <v>59</v>
      </c>
      <c r="V101" s="3"/>
      <c r="W101" s="3"/>
      <c r="Y101" t="s">
        <v>341</v>
      </c>
      <c r="Z101" s="1"/>
      <c r="AA101" s="1">
        <v>1800000</v>
      </c>
      <c r="AC101" t="s">
        <v>61</v>
      </c>
      <c r="AD101" s="1"/>
      <c r="AE101" s="1">
        <v>27966293</v>
      </c>
      <c r="AG101" t="s">
        <v>61</v>
      </c>
      <c r="AH101" s="1"/>
      <c r="AI101" s="1">
        <v>27966293</v>
      </c>
      <c r="AK101" t="s">
        <v>60</v>
      </c>
      <c r="AL101" s="1"/>
      <c r="AM101" s="1">
        <v>49119258</v>
      </c>
      <c r="AO101" t="s">
        <v>60</v>
      </c>
      <c r="AP101" s="1"/>
      <c r="AQ101" s="1">
        <v>45779343</v>
      </c>
      <c r="AS101" t="s">
        <v>60</v>
      </c>
      <c r="AT101" s="1"/>
      <c r="AU101" s="1">
        <v>45779343</v>
      </c>
    </row>
    <row r="102" spans="1:47" x14ac:dyDescent="0.25">
      <c r="A102" t="s">
        <v>341</v>
      </c>
      <c r="B102" s="1"/>
      <c r="C102" s="1">
        <v>1800000</v>
      </c>
      <c r="E102" t="s">
        <v>341</v>
      </c>
      <c r="F102" s="1"/>
      <c r="G102" s="1">
        <v>1800000</v>
      </c>
      <c r="I102" t="s">
        <v>341</v>
      </c>
      <c r="J102" s="1"/>
      <c r="K102" s="1">
        <v>1800000</v>
      </c>
      <c r="M102" t="s">
        <v>341</v>
      </c>
      <c r="N102" s="1"/>
      <c r="O102" s="1">
        <v>1800000</v>
      </c>
      <c r="Q102" t="s">
        <v>341</v>
      </c>
      <c r="R102" s="1"/>
      <c r="S102" s="1">
        <v>1800000</v>
      </c>
      <c r="U102" t="s">
        <v>341</v>
      </c>
      <c r="V102" s="1"/>
      <c r="W102" s="1">
        <v>1800000</v>
      </c>
      <c r="Y102" t="s">
        <v>60</v>
      </c>
      <c r="Z102" s="1"/>
      <c r="AA102" s="1">
        <v>52521951</v>
      </c>
      <c r="AC102" t="s">
        <v>79</v>
      </c>
      <c r="AE102" s="1">
        <v>15668727</v>
      </c>
      <c r="AG102" t="s">
        <v>79</v>
      </c>
      <c r="AI102" s="1">
        <v>15668727</v>
      </c>
      <c r="AK102" t="s">
        <v>65</v>
      </c>
      <c r="AL102" s="1"/>
      <c r="AM102" s="1">
        <v>18453960</v>
      </c>
      <c r="AO102" t="s">
        <v>65</v>
      </c>
      <c r="AP102" s="1"/>
      <c r="AQ102" s="1">
        <v>0</v>
      </c>
      <c r="AS102" t="s">
        <v>65</v>
      </c>
      <c r="AT102" s="1"/>
      <c r="AU102" s="1">
        <v>0</v>
      </c>
    </row>
    <row r="103" spans="1:47" x14ac:dyDescent="0.25">
      <c r="A103" t="s">
        <v>79</v>
      </c>
      <c r="B103" s="1"/>
      <c r="C103" s="1">
        <v>15818000</v>
      </c>
      <c r="E103" t="s">
        <v>79</v>
      </c>
      <c r="G103" s="1">
        <v>17656000</v>
      </c>
      <c r="I103" t="s">
        <v>79</v>
      </c>
      <c r="K103" s="1">
        <v>17656000</v>
      </c>
      <c r="M103" t="s">
        <v>61</v>
      </c>
      <c r="N103" s="1"/>
      <c r="O103" s="1">
        <v>1966293</v>
      </c>
      <c r="Q103" t="s">
        <v>61</v>
      </c>
      <c r="R103" s="1"/>
      <c r="S103" s="1">
        <v>1966293</v>
      </c>
      <c r="U103" t="s">
        <v>60</v>
      </c>
      <c r="V103" s="1"/>
      <c r="W103" s="1">
        <v>52521951</v>
      </c>
      <c r="Y103" t="s">
        <v>65</v>
      </c>
      <c r="Z103" s="1"/>
      <c r="AA103" s="1">
        <v>50669580</v>
      </c>
      <c r="AC103" t="s">
        <v>63</v>
      </c>
      <c r="AD103" s="1"/>
      <c r="AE103" s="1">
        <v>317200</v>
      </c>
      <c r="AG103" t="s">
        <v>63</v>
      </c>
      <c r="AH103" s="1"/>
      <c r="AI103" s="1">
        <v>317200</v>
      </c>
      <c r="AK103" t="s">
        <v>386</v>
      </c>
      <c r="AL103" s="1"/>
      <c r="AM103" s="1">
        <v>1465000</v>
      </c>
      <c r="AO103" t="s">
        <v>386</v>
      </c>
      <c r="AP103" s="1"/>
      <c r="AQ103" s="1">
        <v>1465000</v>
      </c>
      <c r="AS103" t="s">
        <v>386</v>
      </c>
      <c r="AT103" s="1"/>
      <c r="AU103" s="1">
        <v>1465000</v>
      </c>
    </row>
    <row r="104" spans="1:47" x14ac:dyDescent="0.25">
      <c r="A104" t="s">
        <v>63</v>
      </c>
      <c r="B104" s="1"/>
      <c r="C104" s="1">
        <v>317200</v>
      </c>
      <c r="E104" t="s">
        <v>63</v>
      </c>
      <c r="F104" s="1"/>
      <c r="G104" s="1">
        <v>317200</v>
      </c>
      <c r="I104" t="s">
        <v>63</v>
      </c>
      <c r="J104" s="1"/>
      <c r="K104" s="1">
        <v>317200</v>
      </c>
      <c r="M104" t="s">
        <v>79</v>
      </c>
      <c r="O104" s="1">
        <v>16656000</v>
      </c>
      <c r="Q104" t="s">
        <v>79</v>
      </c>
      <c r="S104" s="1">
        <v>16656000</v>
      </c>
      <c r="U104" t="s">
        <v>65</v>
      </c>
      <c r="V104" s="1"/>
      <c r="W104" s="1">
        <v>59449920</v>
      </c>
      <c r="Y104" t="s">
        <v>61</v>
      </c>
      <c r="Z104" s="1"/>
      <c r="AA104" s="1">
        <v>1966293</v>
      </c>
      <c r="AC104" t="s">
        <v>66</v>
      </c>
      <c r="AD104" s="1" t="s">
        <v>92</v>
      </c>
      <c r="AE104" s="1">
        <v>300000</v>
      </c>
      <c r="AG104" t="s">
        <v>66</v>
      </c>
      <c r="AH104" s="1" t="s">
        <v>92</v>
      </c>
      <c r="AI104" s="1">
        <v>300000</v>
      </c>
      <c r="AK104" t="s">
        <v>94</v>
      </c>
      <c r="AL104" s="1"/>
      <c r="AM104" s="1">
        <v>250000</v>
      </c>
      <c r="AO104" t="s">
        <v>94</v>
      </c>
      <c r="AP104" s="1"/>
      <c r="AQ104" s="1">
        <v>250000</v>
      </c>
      <c r="AS104" t="s">
        <v>94</v>
      </c>
      <c r="AT104" s="1"/>
      <c r="AU104" s="1">
        <v>250000</v>
      </c>
    </row>
    <row r="105" spans="1:47" x14ac:dyDescent="0.25">
      <c r="A105" t="s">
        <v>66</v>
      </c>
      <c r="B105" s="1" t="s">
        <v>92</v>
      </c>
      <c r="C105" s="1">
        <v>300000</v>
      </c>
      <c r="E105" t="s">
        <v>66</v>
      </c>
      <c r="F105" s="1" t="s">
        <v>92</v>
      </c>
      <c r="G105" s="1">
        <v>300000</v>
      </c>
      <c r="I105" t="s">
        <v>66</v>
      </c>
      <c r="J105" s="1" t="s">
        <v>92</v>
      </c>
      <c r="K105" s="1">
        <v>300000</v>
      </c>
      <c r="M105" t="s">
        <v>63</v>
      </c>
      <c r="N105" s="1"/>
      <c r="O105" s="1">
        <v>317200</v>
      </c>
      <c r="Q105" t="s">
        <v>63</v>
      </c>
      <c r="R105" s="1"/>
      <c r="S105" s="1">
        <v>317200</v>
      </c>
      <c r="U105" t="s">
        <v>61</v>
      </c>
      <c r="V105" s="1"/>
      <c r="W105" s="1">
        <v>1966293</v>
      </c>
      <c r="Y105" t="s">
        <v>79</v>
      </c>
      <c r="AA105" s="1">
        <v>16656000</v>
      </c>
      <c r="AC105" t="s">
        <v>237</v>
      </c>
      <c r="AE105" s="1">
        <v>503000</v>
      </c>
      <c r="AG105" t="s">
        <v>237</v>
      </c>
      <c r="AI105" s="1">
        <v>503000</v>
      </c>
      <c r="AK105" t="s">
        <v>61</v>
      </c>
      <c r="AL105" s="1"/>
      <c r="AM105" s="1">
        <v>3966293</v>
      </c>
      <c r="AO105" t="s">
        <v>61</v>
      </c>
      <c r="AP105" s="1"/>
      <c r="AQ105" s="1">
        <v>3966293</v>
      </c>
      <c r="AS105" t="s">
        <v>61</v>
      </c>
      <c r="AT105" s="1"/>
      <c r="AU105" s="1">
        <v>3966293</v>
      </c>
    </row>
    <row r="106" spans="1:47" x14ac:dyDescent="0.25">
      <c r="A106" t="s">
        <v>237</v>
      </c>
      <c r="C106" s="1">
        <v>503000</v>
      </c>
      <c r="E106" t="s">
        <v>237</v>
      </c>
      <c r="G106" s="1">
        <v>503000</v>
      </c>
      <c r="I106" t="s">
        <v>237</v>
      </c>
      <c r="K106" s="1">
        <v>503000</v>
      </c>
      <c r="M106" t="s">
        <v>66</v>
      </c>
      <c r="N106" s="1" t="s">
        <v>92</v>
      </c>
      <c r="O106" s="1">
        <v>300000</v>
      </c>
      <c r="Q106" t="s">
        <v>66</v>
      </c>
      <c r="R106" s="1" t="s">
        <v>92</v>
      </c>
      <c r="S106" s="1">
        <v>300000</v>
      </c>
      <c r="U106" t="s">
        <v>79</v>
      </c>
      <c r="W106" s="1">
        <v>16656000</v>
      </c>
      <c r="Y106" t="s">
        <v>63</v>
      </c>
      <c r="Z106" s="1"/>
      <c r="AA106" s="1">
        <v>317200</v>
      </c>
      <c r="AC106" t="s">
        <v>78</v>
      </c>
      <c r="AD106" s="1"/>
      <c r="AE106" s="1">
        <v>659600</v>
      </c>
      <c r="AG106" t="s">
        <v>78</v>
      </c>
      <c r="AH106" s="1"/>
      <c r="AI106" s="1">
        <v>659600</v>
      </c>
      <c r="AK106" t="s">
        <v>357</v>
      </c>
      <c r="AL106" s="1"/>
      <c r="AM106" s="1">
        <v>78688132</v>
      </c>
      <c r="AO106" t="s">
        <v>357</v>
      </c>
      <c r="AP106" s="1"/>
      <c r="AQ106" s="1">
        <v>78688132</v>
      </c>
      <c r="AS106" t="s">
        <v>357</v>
      </c>
      <c r="AT106" s="1"/>
      <c r="AU106" s="1">
        <v>78688132</v>
      </c>
    </row>
    <row r="107" spans="1:47" x14ac:dyDescent="0.25">
      <c r="A107" t="s">
        <v>78</v>
      </c>
      <c r="B107" s="1"/>
      <c r="C107" s="1">
        <v>659600</v>
      </c>
      <c r="E107" t="s">
        <v>78</v>
      </c>
      <c r="F107" s="1"/>
      <c r="G107" s="1">
        <v>659600</v>
      </c>
      <c r="I107" t="s">
        <v>78</v>
      </c>
      <c r="J107" s="1"/>
      <c r="K107" s="1">
        <v>659600</v>
      </c>
      <c r="M107" t="s">
        <v>237</v>
      </c>
      <c r="O107" s="1">
        <v>503000</v>
      </c>
      <c r="Q107" t="s">
        <v>237</v>
      </c>
      <c r="S107" s="1">
        <v>503000</v>
      </c>
      <c r="U107" t="s">
        <v>63</v>
      </c>
      <c r="V107" s="1"/>
      <c r="W107" s="1">
        <v>317200</v>
      </c>
      <c r="Y107" t="s">
        <v>66</v>
      </c>
      <c r="Z107" s="1" t="s">
        <v>92</v>
      </c>
      <c r="AA107" s="1">
        <v>300000</v>
      </c>
      <c r="AC107" t="s">
        <v>99</v>
      </c>
      <c r="AE107" s="1">
        <v>2000000</v>
      </c>
      <c r="AG107" t="s">
        <v>99</v>
      </c>
      <c r="AI107" s="1">
        <v>2000000</v>
      </c>
      <c r="AK107" t="s">
        <v>79</v>
      </c>
      <c r="AM107" s="1">
        <v>15668727</v>
      </c>
      <c r="AO107" t="s">
        <v>79</v>
      </c>
      <c r="AQ107" s="1">
        <v>3119642</v>
      </c>
      <c r="AS107" t="s">
        <v>79</v>
      </c>
      <c r="AU107" s="1">
        <v>3119642</v>
      </c>
    </row>
    <row r="108" spans="1:47" x14ac:dyDescent="0.25">
      <c r="A108" t="s">
        <v>99</v>
      </c>
      <c r="C108" s="1">
        <v>2000000</v>
      </c>
      <c r="E108" t="s">
        <v>99</v>
      </c>
      <c r="G108" s="1">
        <v>2000000</v>
      </c>
      <c r="I108" t="s">
        <v>99</v>
      </c>
      <c r="K108" s="1">
        <v>2000000</v>
      </c>
      <c r="M108" t="s">
        <v>78</v>
      </c>
      <c r="N108" s="1"/>
      <c r="O108" s="1">
        <v>659600</v>
      </c>
      <c r="Q108" t="s">
        <v>78</v>
      </c>
      <c r="R108" s="1"/>
      <c r="S108" s="1">
        <v>659600</v>
      </c>
      <c r="U108" t="s">
        <v>66</v>
      </c>
      <c r="V108" s="1" t="s">
        <v>92</v>
      </c>
      <c r="W108" s="1">
        <v>300000</v>
      </c>
      <c r="Y108" t="s">
        <v>237</v>
      </c>
      <c r="AA108" s="1">
        <v>503000</v>
      </c>
      <c r="AC108" t="s">
        <v>233</v>
      </c>
      <c r="AE108" s="1">
        <v>700000</v>
      </c>
      <c r="AG108" t="s">
        <v>233</v>
      </c>
      <c r="AI108" s="1">
        <v>700000</v>
      </c>
      <c r="AK108" t="s">
        <v>63</v>
      </c>
      <c r="AL108" s="1"/>
      <c r="AM108" s="1">
        <v>317200</v>
      </c>
      <c r="AO108" t="s">
        <v>63</v>
      </c>
      <c r="AP108" s="1"/>
      <c r="AQ108" s="1">
        <v>317200</v>
      </c>
      <c r="AS108" t="s">
        <v>63</v>
      </c>
      <c r="AT108" s="1"/>
      <c r="AU108" s="1">
        <v>317200</v>
      </c>
    </row>
    <row r="109" spans="1:47" x14ac:dyDescent="0.25">
      <c r="A109" t="s">
        <v>233</v>
      </c>
      <c r="C109" s="1">
        <v>700000</v>
      </c>
      <c r="E109" t="s">
        <v>233</v>
      </c>
      <c r="G109" s="1">
        <v>700000</v>
      </c>
      <c r="I109" t="s">
        <v>233</v>
      </c>
      <c r="K109" s="1">
        <v>700000</v>
      </c>
      <c r="M109" t="s">
        <v>99</v>
      </c>
      <c r="O109" s="1">
        <v>2000000</v>
      </c>
      <c r="Q109" t="s">
        <v>99</v>
      </c>
      <c r="S109" s="1">
        <v>2000000</v>
      </c>
      <c r="U109" t="s">
        <v>237</v>
      </c>
      <c r="W109" s="1">
        <v>503000</v>
      </c>
      <c r="Y109" t="s">
        <v>78</v>
      </c>
      <c r="Z109" s="1"/>
      <c r="AA109" s="1">
        <v>659600</v>
      </c>
      <c r="AC109" t="s">
        <v>109</v>
      </c>
      <c r="AE109" s="1">
        <v>662000</v>
      </c>
      <c r="AG109" t="s">
        <v>109</v>
      </c>
      <c r="AI109" s="1">
        <v>662000</v>
      </c>
      <c r="AK109" t="s">
        <v>66</v>
      </c>
      <c r="AL109" s="1" t="s">
        <v>92</v>
      </c>
      <c r="AM109" s="1">
        <v>300000</v>
      </c>
      <c r="AO109" t="s">
        <v>66</v>
      </c>
      <c r="AP109" s="1" t="s">
        <v>92</v>
      </c>
      <c r="AQ109" s="1">
        <v>300000</v>
      </c>
      <c r="AS109" t="s">
        <v>66</v>
      </c>
      <c r="AT109" s="1" t="s">
        <v>92</v>
      </c>
      <c r="AU109" s="1">
        <v>300000</v>
      </c>
    </row>
    <row r="110" spans="1:47" x14ac:dyDescent="0.25">
      <c r="A110" t="s">
        <v>109</v>
      </c>
      <c r="C110" s="1">
        <v>662000</v>
      </c>
      <c r="E110" t="s">
        <v>109</v>
      </c>
      <c r="G110" s="1">
        <v>662000</v>
      </c>
      <c r="I110" t="s">
        <v>109</v>
      </c>
      <c r="K110" s="1">
        <v>662000</v>
      </c>
      <c r="M110" t="s">
        <v>233</v>
      </c>
      <c r="O110" s="1">
        <v>700000</v>
      </c>
      <c r="Q110" t="s">
        <v>233</v>
      </c>
      <c r="S110" s="1">
        <v>700000</v>
      </c>
      <c r="U110" t="s">
        <v>78</v>
      </c>
      <c r="V110" s="1"/>
      <c r="W110" s="1">
        <v>659600</v>
      </c>
      <c r="Y110" t="s">
        <v>99</v>
      </c>
      <c r="AA110" s="1">
        <v>2000000</v>
      </c>
      <c r="AC110" t="s">
        <v>302</v>
      </c>
      <c r="AE110" s="1">
        <v>800000</v>
      </c>
      <c r="AG110" t="s">
        <v>302</v>
      </c>
      <c r="AI110" s="1">
        <v>800000</v>
      </c>
      <c r="AK110" t="s">
        <v>237</v>
      </c>
      <c r="AM110" s="1">
        <v>503000</v>
      </c>
      <c r="AO110" t="s">
        <v>237</v>
      </c>
      <c r="AQ110" s="1">
        <v>503000</v>
      </c>
      <c r="AS110" t="s">
        <v>237</v>
      </c>
      <c r="AU110" s="1">
        <v>503000</v>
      </c>
    </row>
    <row r="111" spans="1:47" x14ac:dyDescent="0.25">
      <c r="A111" t="s">
        <v>299</v>
      </c>
      <c r="C111" s="1">
        <v>2305000</v>
      </c>
      <c r="E111" t="s">
        <v>302</v>
      </c>
      <c r="G111" s="1">
        <v>800000</v>
      </c>
      <c r="I111" t="s">
        <v>302</v>
      </c>
      <c r="K111" s="1">
        <v>800000</v>
      </c>
      <c r="M111" t="s">
        <v>109</v>
      </c>
      <c r="O111" s="1">
        <v>662000</v>
      </c>
      <c r="Q111" t="s">
        <v>109</v>
      </c>
      <c r="S111" s="1">
        <v>662000</v>
      </c>
      <c r="U111" t="s">
        <v>99</v>
      </c>
      <c r="W111" s="1">
        <v>2000000</v>
      </c>
      <c r="Y111" t="s">
        <v>233</v>
      </c>
      <c r="AA111" s="1">
        <v>700000</v>
      </c>
      <c r="AC111" t="s">
        <v>319</v>
      </c>
      <c r="AE111" s="1">
        <v>1500000</v>
      </c>
      <c r="AG111" t="s">
        <v>361</v>
      </c>
      <c r="AI111" s="1">
        <v>3000000</v>
      </c>
      <c r="AK111" t="s">
        <v>78</v>
      </c>
      <c r="AL111" s="1"/>
      <c r="AM111" s="1">
        <v>659600</v>
      </c>
      <c r="AO111" t="s">
        <v>78</v>
      </c>
      <c r="AP111" s="1"/>
      <c r="AQ111" s="1">
        <v>659600</v>
      </c>
      <c r="AS111" t="s">
        <v>78</v>
      </c>
      <c r="AT111" s="1"/>
      <c r="AU111" s="1">
        <v>659600</v>
      </c>
    </row>
    <row r="112" spans="1:47" x14ac:dyDescent="0.25">
      <c r="A112" t="s">
        <v>290</v>
      </c>
      <c r="C112" s="1">
        <v>2800000</v>
      </c>
      <c r="E112" t="s">
        <v>303</v>
      </c>
      <c r="G112" s="1">
        <v>3664175</v>
      </c>
      <c r="I112" t="s">
        <v>303</v>
      </c>
      <c r="K112" s="1">
        <v>3664175</v>
      </c>
      <c r="M112" t="s">
        <v>302</v>
      </c>
      <c r="O112" s="1">
        <v>800000</v>
      </c>
      <c r="Q112" t="s">
        <v>302</v>
      </c>
      <c r="S112" s="1">
        <v>800000</v>
      </c>
      <c r="U112" t="s">
        <v>233</v>
      </c>
      <c r="W112" s="1">
        <v>700000</v>
      </c>
      <c r="Y112" t="s">
        <v>109</v>
      </c>
      <c r="AA112" s="1">
        <v>662000</v>
      </c>
      <c r="AC112" t="s">
        <v>360</v>
      </c>
      <c r="AE112" s="1">
        <v>1500000</v>
      </c>
      <c r="AG112" t="s">
        <v>319</v>
      </c>
      <c r="AI112" s="1">
        <v>1500000</v>
      </c>
      <c r="AK112" t="s">
        <v>99</v>
      </c>
      <c r="AM112" s="1">
        <v>2000000</v>
      </c>
      <c r="AO112" t="s">
        <v>99</v>
      </c>
      <c r="AQ112" s="1">
        <v>2000000</v>
      </c>
      <c r="AS112" t="s">
        <v>99</v>
      </c>
      <c r="AU112" s="1">
        <v>2000000</v>
      </c>
    </row>
    <row r="113" spans="1:47" x14ac:dyDescent="0.25">
      <c r="A113" t="s">
        <v>298</v>
      </c>
      <c r="C113" s="1">
        <v>1777450</v>
      </c>
      <c r="E113" t="s">
        <v>259</v>
      </c>
      <c r="G113" s="1">
        <v>35429500</v>
      </c>
      <c r="I113" t="s">
        <v>259</v>
      </c>
      <c r="K113" s="1">
        <v>35429500</v>
      </c>
      <c r="M113" t="s">
        <v>303</v>
      </c>
      <c r="O113" s="1">
        <v>3664175</v>
      </c>
      <c r="Q113" t="s">
        <v>319</v>
      </c>
      <c r="S113" s="1">
        <v>1000000</v>
      </c>
      <c r="U113" t="s">
        <v>109</v>
      </c>
      <c r="W113" s="1">
        <v>662000</v>
      </c>
      <c r="Y113" t="s">
        <v>302</v>
      </c>
      <c r="AA113" s="1">
        <v>800000</v>
      </c>
      <c r="AC113" t="s">
        <v>308</v>
      </c>
      <c r="AE113" s="1">
        <v>5217181</v>
      </c>
      <c r="AG113" t="s">
        <v>362</v>
      </c>
      <c r="AI113" s="1">
        <v>2420304</v>
      </c>
      <c r="AK113" t="s">
        <v>233</v>
      </c>
      <c r="AM113" s="1">
        <v>700000</v>
      </c>
      <c r="AO113" t="s">
        <v>233</v>
      </c>
      <c r="AQ113" s="1">
        <v>700000</v>
      </c>
      <c r="AS113" t="s">
        <v>233</v>
      </c>
      <c r="AU113" s="1">
        <v>700000</v>
      </c>
    </row>
    <row r="114" spans="1:47" x14ac:dyDescent="0.25">
      <c r="A114" t="s">
        <v>300</v>
      </c>
      <c r="C114" s="1">
        <v>1500000</v>
      </c>
      <c r="G114" s="1">
        <f>SUM(G99:G113)</f>
        <v>132897268</v>
      </c>
      <c r="K114" s="1">
        <f>SUM(K99:K113)</f>
        <v>141434068</v>
      </c>
      <c r="M114" t="s">
        <v>308</v>
      </c>
      <c r="O114" s="1">
        <v>3067500</v>
      </c>
      <c r="Q114" t="s">
        <v>321</v>
      </c>
      <c r="S114" s="1">
        <v>1368959</v>
      </c>
      <c r="U114" t="s">
        <v>302</v>
      </c>
      <c r="W114" s="1">
        <v>800000</v>
      </c>
      <c r="Y114" t="s">
        <v>342</v>
      </c>
      <c r="AA114" s="1">
        <v>990700</v>
      </c>
      <c r="AE114" s="1">
        <f>SUM(AE99:AE113)</f>
        <v>145852419</v>
      </c>
      <c r="AG114" t="s">
        <v>151</v>
      </c>
      <c r="AI114" s="1">
        <v>260000</v>
      </c>
      <c r="AK114" t="s">
        <v>109</v>
      </c>
      <c r="AM114" s="1">
        <v>662000</v>
      </c>
      <c r="AO114" t="s">
        <v>109</v>
      </c>
      <c r="AQ114" s="1">
        <v>662000</v>
      </c>
      <c r="AS114" t="s">
        <v>109</v>
      </c>
      <c r="AU114" s="1">
        <v>662000</v>
      </c>
    </row>
    <row r="115" spans="1:47" x14ac:dyDescent="0.25">
      <c r="A115" t="s">
        <v>297</v>
      </c>
      <c r="C115" s="1">
        <v>2500000</v>
      </c>
      <c r="E115" t="s">
        <v>92</v>
      </c>
      <c r="G115" s="3">
        <f>G96-G114</f>
        <v>187529062</v>
      </c>
      <c r="I115" t="s">
        <v>92</v>
      </c>
      <c r="K115" s="3">
        <f>K96-K114</f>
        <v>151978382</v>
      </c>
      <c r="O115" s="1">
        <f>SUM(O100:O114)</f>
        <v>92495268</v>
      </c>
      <c r="Q115" t="s">
        <v>330</v>
      </c>
      <c r="S115" s="1">
        <v>5454100</v>
      </c>
      <c r="U115" t="s">
        <v>318</v>
      </c>
      <c r="W115" s="1">
        <v>1136500</v>
      </c>
      <c r="Y115" t="s">
        <v>319</v>
      </c>
      <c r="AA115" s="1">
        <v>1500000</v>
      </c>
      <c r="AC115" t="s">
        <v>92</v>
      </c>
      <c r="AE115" s="3">
        <f>AE96-AE114</f>
        <v>217732991</v>
      </c>
      <c r="AG115" t="s">
        <v>360</v>
      </c>
      <c r="AI115" s="1">
        <v>1500000</v>
      </c>
      <c r="AK115" t="s">
        <v>302</v>
      </c>
      <c r="AM115" s="1">
        <v>260000</v>
      </c>
      <c r="AO115" t="s">
        <v>302</v>
      </c>
      <c r="AQ115" s="1">
        <v>260000</v>
      </c>
      <c r="AS115" t="s">
        <v>393</v>
      </c>
      <c r="AU115" s="1">
        <v>751590</v>
      </c>
    </row>
    <row r="116" spans="1:47" x14ac:dyDescent="0.25">
      <c r="A116" t="s">
        <v>302</v>
      </c>
      <c r="C116" s="1">
        <v>870000</v>
      </c>
      <c r="M116" t="s">
        <v>92</v>
      </c>
      <c r="O116" s="3">
        <f>O97-O115</f>
        <v>150339182</v>
      </c>
      <c r="Q116" t="s">
        <v>308</v>
      </c>
      <c r="S116" s="1">
        <v>2067500</v>
      </c>
      <c r="U116" t="s">
        <v>319</v>
      </c>
      <c r="W116" s="1">
        <v>1200000</v>
      </c>
      <c r="Y116" t="s">
        <v>359</v>
      </c>
      <c r="AA116" s="1">
        <v>990700</v>
      </c>
      <c r="AG116" t="s">
        <v>387</v>
      </c>
      <c r="AI116" s="1">
        <v>1144740</v>
      </c>
      <c r="AK116" t="s">
        <v>319</v>
      </c>
      <c r="AM116" s="1">
        <v>1500000</v>
      </c>
      <c r="AO116" t="s">
        <v>393</v>
      </c>
      <c r="AQ116" s="1">
        <v>751590</v>
      </c>
      <c r="AS116" t="s">
        <v>319</v>
      </c>
      <c r="AU116" s="1">
        <v>1500000</v>
      </c>
    </row>
    <row r="117" spans="1:47" x14ac:dyDescent="0.25">
      <c r="A117" t="s">
        <v>301</v>
      </c>
      <c r="C117" s="1">
        <v>1000000</v>
      </c>
      <c r="S117" s="1">
        <f>SUM(S100:S116)</f>
        <v>148886892</v>
      </c>
      <c r="U117" t="s">
        <v>343</v>
      </c>
      <c r="W117" s="1">
        <v>8000000</v>
      </c>
      <c r="Y117" t="s">
        <v>347</v>
      </c>
      <c r="AA117" s="1">
        <v>589000</v>
      </c>
      <c r="AG117" t="s">
        <v>308</v>
      </c>
      <c r="AI117" s="1">
        <v>5217181</v>
      </c>
      <c r="AK117" t="s">
        <v>362</v>
      </c>
      <c r="AM117" s="1">
        <v>2420304</v>
      </c>
      <c r="AO117" t="s">
        <v>319</v>
      </c>
      <c r="AQ117" s="1">
        <v>1500000</v>
      </c>
      <c r="AS117" t="s">
        <v>402</v>
      </c>
      <c r="AU117" s="1">
        <v>17800000</v>
      </c>
    </row>
    <row r="118" spans="1:47" x14ac:dyDescent="0.25">
      <c r="A118" t="s">
        <v>259</v>
      </c>
      <c r="C118" s="1">
        <v>35429500</v>
      </c>
      <c r="Q118" t="s">
        <v>92</v>
      </c>
      <c r="S118" s="3">
        <f>S97-S117</f>
        <v>156715644</v>
      </c>
      <c r="U118" t="s">
        <v>344</v>
      </c>
      <c r="W118" s="1">
        <v>2088000</v>
      </c>
      <c r="Y118" t="s">
        <v>308</v>
      </c>
      <c r="AA118" s="1">
        <v>5217181</v>
      </c>
      <c r="AI118" s="1">
        <f>SUM(AI98:AI117)</f>
        <v>154052525</v>
      </c>
      <c r="AK118" t="s">
        <v>360</v>
      </c>
      <c r="AM118" s="1">
        <v>1500000</v>
      </c>
      <c r="AO118" t="s">
        <v>362</v>
      </c>
      <c r="AQ118" s="1">
        <v>2420304</v>
      </c>
      <c r="AS118" t="s">
        <v>360</v>
      </c>
      <c r="AU118" s="1">
        <v>1500000</v>
      </c>
    </row>
    <row r="119" spans="1:47" x14ac:dyDescent="0.25">
      <c r="C119" s="1">
        <f>SUM(C99:C118)</f>
        <v>142877543</v>
      </c>
      <c r="U119" t="s">
        <v>308</v>
      </c>
      <c r="W119" s="1">
        <v>74312800</v>
      </c>
      <c r="AA119" s="1">
        <f>SUM(AA101:AA118)</f>
        <v>138843205</v>
      </c>
      <c r="AG119" t="s">
        <v>92</v>
      </c>
      <c r="AI119" s="3">
        <f>AI96-AI118</f>
        <v>203849910</v>
      </c>
      <c r="AK119" t="s">
        <v>308</v>
      </c>
      <c r="AM119" s="1">
        <v>5217181</v>
      </c>
      <c r="AO119" t="s">
        <v>360</v>
      </c>
      <c r="AQ119" s="1">
        <v>1500000</v>
      </c>
      <c r="AU119" s="1">
        <f>SUM(AU101:AU118)</f>
        <v>159961800</v>
      </c>
    </row>
    <row r="120" spans="1:47" x14ac:dyDescent="0.25">
      <c r="A120" t="s">
        <v>92</v>
      </c>
      <c r="C120" s="3">
        <f>C96-C119</f>
        <v>191783632</v>
      </c>
      <c r="W120" s="1">
        <f>SUM(W102:W119)</f>
        <v>225073264</v>
      </c>
      <c r="Y120" t="s">
        <v>92</v>
      </c>
      <c r="AA120" s="3">
        <f>AA98-AA119</f>
        <v>168642330</v>
      </c>
      <c r="AM120" s="1">
        <f>SUM(AM101:AM119)</f>
        <v>183650655</v>
      </c>
      <c r="AO120" t="s">
        <v>308</v>
      </c>
      <c r="AQ120" s="1">
        <v>9000000</v>
      </c>
      <c r="AS120" t="s">
        <v>92</v>
      </c>
      <c r="AU120" s="3">
        <f>AU98-AU119</f>
        <v>188940485</v>
      </c>
    </row>
    <row r="121" spans="1:47" x14ac:dyDescent="0.25">
      <c r="U121" t="s">
        <v>92</v>
      </c>
      <c r="W121" s="3">
        <f>W99-W120</f>
        <v>170575362.20999998</v>
      </c>
      <c r="AK121" t="s">
        <v>92</v>
      </c>
      <c r="AM121" s="3">
        <f>AM98-AM120</f>
        <v>214259380.05000001</v>
      </c>
      <c r="AQ121" s="1">
        <f>SUM(AQ101:AQ120)</f>
        <v>153842104</v>
      </c>
    </row>
    <row r="122" spans="1:47" x14ac:dyDescent="0.25">
      <c r="AO122" t="s">
        <v>92</v>
      </c>
      <c r="AQ122" s="3">
        <f>AQ98-AQ121</f>
        <v>193282114.61000001</v>
      </c>
    </row>
    <row r="123" spans="1:47" x14ac:dyDescent="0.25">
      <c r="AS123" t="s">
        <v>92</v>
      </c>
    </row>
  </sheetData>
  <mergeCells count="72">
    <mergeCell ref="AK55:AM55"/>
    <mergeCell ref="AK2:AM2"/>
    <mergeCell ref="AK3:AM3"/>
    <mergeCell ref="AK21:AM21"/>
    <mergeCell ref="AK22:AM22"/>
    <mergeCell ref="AK54:AM54"/>
    <mergeCell ref="AC55:AE55"/>
    <mergeCell ref="AC2:AE2"/>
    <mergeCell ref="AC3:AE3"/>
    <mergeCell ref="AC21:AE21"/>
    <mergeCell ref="AC22:AE22"/>
    <mergeCell ref="AC54:AE54"/>
    <mergeCell ref="Y55:AA55"/>
    <mergeCell ref="Y2:AA2"/>
    <mergeCell ref="Y3:AA3"/>
    <mergeCell ref="Y21:AA21"/>
    <mergeCell ref="Y22:AA22"/>
    <mergeCell ref="Y54:AA54"/>
    <mergeCell ref="Q55:S55"/>
    <mergeCell ref="U2:W2"/>
    <mergeCell ref="U3:W3"/>
    <mergeCell ref="U21:W21"/>
    <mergeCell ref="U22:W22"/>
    <mergeCell ref="U54:W54"/>
    <mergeCell ref="U55:W55"/>
    <mergeCell ref="Q2:S2"/>
    <mergeCell ref="Q3:S3"/>
    <mergeCell ref="Q21:S21"/>
    <mergeCell ref="Q22:S22"/>
    <mergeCell ref="Q54:S54"/>
    <mergeCell ref="M55:O55"/>
    <mergeCell ref="M2:O2"/>
    <mergeCell ref="M3:O3"/>
    <mergeCell ref="M21:O21"/>
    <mergeCell ref="M22:O22"/>
    <mergeCell ref="M54:O54"/>
    <mergeCell ref="E55:G55"/>
    <mergeCell ref="A55:C55"/>
    <mergeCell ref="A2:C2"/>
    <mergeCell ref="A3:C3"/>
    <mergeCell ref="A21:C21"/>
    <mergeCell ref="A22:C22"/>
    <mergeCell ref="A54:C54"/>
    <mergeCell ref="E2:G2"/>
    <mergeCell ref="E3:G3"/>
    <mergeCell ref="E21:G21"/>
    <mergeCell ref="E22:G22"/>
    <mergeCell ref="E54:G54"/>
    <mergeCell ref="I55:K55"/>
    <mergeCell ref="I2:K2"/>
    <mergeCell ref="I3:K3"/>
    <mergeCell ref="I21:K21"/>
    <mergeCell ref="I22:K22"/>
    <mergeCell ref="I54:K54"/>
    <mergeCell ref="AG55:AI55"/>
    <mergeCell ref="AG2:AI2"/>
    <mergeCell ref="AG3:AI3"/>
    <mergeCell ref="AG21:AI21"/>
    <mergeCell ref="AG22:AI22"/>
    <mergeCell ref="AG54:AI54"/>
    <mergeCell ref="AO55:AQ55"/>
    <mergeCell ref="AO2:AQ2"/>
    <mergeCell ref="AO3:AQ3"/>
    <mergeCell ref="AO21:AQ21"/>
    <mergeCell ref="AO22:AQ22"/>
    <mergeCell ref="AO54:AQ54"/>
    <mergeCell ref="AS55:AU55"/>
    <mergeCell ref="AS2:AU2"/>
    <mergeCell ref="AS3:AU3"/>
    <mergeCell ref="AS21:AU21"/>
    <mergeCell ref="AS22:AU22"/>
    <mergeCell ref="AS54:AU54"/>
  </mergeCells>
  <printOptions gridLines="1"/>
  <pageMargins left="0.70866141732283472" right="0.70866141732283472" top="0.74803149606299213" bottom="0.74803149606299213" header="0.31496062992125984" footer="0.31496062992125984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8867-8597-41A0-AB4F-D06403D246BE}">
  <dimension ref="A1:P16"/>
  <sheetViews>
    <sheetView workbookViewId="0">
      <selection sqref="A1:G17"/>
    </sheetView>
  </sheetViews>
  <sheetFormatPr defaultRowHeight="15" x14ac:dyDescent="0.25"/>
  <cols>
    <col min="1" max="1" width="9.140625" customWidth="1"/>
    <col min="2" max="2" width="17.28515625" bestFit="1" customWidth="1"/>
    <col min="3" max="3" width="16.85546875" bestFit="1" customWidth="1"/>
    <col min="4" max="6" width="16.7109375" bestFit="1" customWidth="1"/>
    <col min="7" max="7" width="18.42578125" bestFit="1" customWidth="1"/>
    <col min="8" max="10" width="16.7109375" bestFit="1" customWidth="1"/>
    <col min="11" max="11" width="16.85546875" bestFit="1" customWidth="1"/>
    <col min="12" max="14" width="16.7109375" bestFit="1" customWidth="1"/>
    <col min="15" max="15" width="16.85546875" bestFit="1" customWidth="1"/>
    <col min="19" max="19" width="14.7109375" bestFit="1" customWidth="1"/>
    <col min="23" max="23" width="14.7109375" bestFit="1" customWidth="1"/>
    <col min="27" max="27" width="14.7109375" bestFit="1" customWidth="1"/>
    <col min="31" max="31" width="15.7109375" bestFit="1" customWidth="1"/>
    <col min="35" max="35" width="14.7109375" bestFit="1" customWidth="1"/>
  </cols>
  <sheetData>
    <row r="1" spans="1:16" x14ac:dyDescent="0.25">
      <c r="B1" s="5"/>
      <c r="C1" s="43" t="s">
        <v>380</v>
      </c>
      <c r="D1" s="44"/>
      <c r="E1" s="44"/>
      <c r="F1" s="44"/>
      <c r="G1" s="45"/>
    </row>
    <row r="2" spans="1:16" x14ac:dyDescent="0.25">
      <c r="B2" s="5"/>
      <c r="C2" s="5"/>
      <c r="D2" s="5" t="s">
        <v>363</v>
      </c>
      <c r="E2" s="5" t="s">
        <v>364</v>
      </c>
      <c r="F2" s="5" t="s">
        <v>365</v>
      </c>
      <c r="G2" s="5" t="s">
        <v>366</v>
      </c>
    </row>
    <row r="3" spans="1:16" x14ac:dyDescent="0.25">
      <c r="B3" s="46">
        <v>2024</v>
      </c>
      <c r="C3" s="5" t="s">
        <v>367</v>
      </c>
      <c r="D3" s="7">
        <v>1655578</v>
      </c>
      <c r="E3" s="7">
        <v>2348000</v>
      </c>
      <c r="F3" s="7">
        <v>12571620</v>
      </c>
      <c r="G3" s="7">
        <v>212204601</v>
      </c>
    </row>
    <row r="4" spans="1:16" x14ac:dyDescent="0.25">
      <c r="B4" s="46"/>
      <c r="C4" s="5" t="s">
        <v>368</v>
      </c>
      <c r="D4" s="7">
        <v>1722954</v>
      </c>
      <c r="E4" s="7">
        <v>1174500</v>
      </c>
      <c r="F4" s="7">
        <v>-1982566</v>
      </c>
      <c r="G4" s="7">
        <v>226090314</v>
      </c>
    </row>
    <row r="5" spans="1:16" x14ac:dyDescent="0.25">
      <c r="A5" s="10"/>
      <c r="B5" s="46"/>
      <c r="C5" s="5" t="s">
        <v>369</v>
      </c>
      <c r="D5" s="7">
        <v>1341078</v>
      </c>
      <c r="E5" s="7">
        <v>1396000</v>
      </c>
      <c r="F5" s="7">
        <v>-5502340</v>
      </c>
      <c r="G5" s="7">
        <v>191058519</v>
      </c>
      <c r="H5" s="10"/>
      <c r="I5" s="10"/>
      <c r="J5" s="10"/>
      <c r="K5" s="10"/>
      <c r="L5" s="10"/>
      <c r="M5" s="10"/>
      <c r="N5" s="10"/>
      <c r="O5" s="10"/>
      <c r="P5" s="10"/>
    </row>
    <row r="6" spans="1:16" x14ac:dyDescent="0.25">
      <c r="B6" s="46"/>
      <c r="C6" s="5" t="s">
        <v>370</v>
      </c>
      <c r="D6" s="7">
        <v>1118000</v>
      </c>
      <c r="E6" s="7">
        <v>1615000</v>
      </c>
      <c r="F6" s="7">
        <v>14511010</v>
      </c>
      <c r="G6" s="7">
        <v>196856280.09000003</v>
      </c>
    </row>
    <row r="7" spans="1:16" x14ac:dyDescent="0.25">
      <c r="B7" s="46"/>
      <c r="C7" s="5" t="s">
        <v>371</v>
      </c>
      <c r="D7" s="7">
        <v>2022500</v>
      </c>
      <c r="E7" s="7">
        <v>678000</v>
      </c>
      <c r="F7" s="7">
        <v>-601835.20000000019</v>
      </c>
      <c r="G7" s="7">
        <v>195318217.32999998</v>
      </c>
    </row>
    <row r="8" spans="1:16" x14ac:dyDescent="0.25">
      <c r="B8" s="46">
        <v>2025</v>
      </c>
      <c r="C8" s="5" t="s">
        <v>372</v>
      </c>
      <c r="D8" s="7">
        <v>1563611</v>
      </c>
      <c r="E8" s="7">
        <v>303000</v>
      </c>
      <c r="F8" s="7">
        <v>-1019480</v>
      </c>
      <c r="G8" s="7">
        <v>191783632</v>
      </c>
    </row>
    <row r="9" spans="1:16" x14ac:dyDescent="0.25">
      <c r="B9" s="46"/>
      <c r="C9" s="5" t="s">
        <v>373</v>
      </c>
      <c r="D9" s="7">
        <v>2086500</v>
      </c>
      <c r="E9" s="7">
        <v>3375000</v>
      </c>
      <c r="F9" s="7">
        <v>-6888480.8499999996</v>
      </c>
      <c r="G9" s="7">
        <v>187529062</v>
      </c>
    </row>
    <row r="10" spans="1:16" x14ac:dyDescent="0.25">
      <c r="B10" s="46"/>
      <c r="C10" s="5" t="s">
        <v>374</v>
      </c>
      <c r="D10" s="7">
        <v>908000</v>
      </c>
      <c r="E10" s="7">
        <v>2385000</v>
      </c>
      <c r="F10" s="7">
        <v>-1493487</v>
      </c>
      <c r="G10" s="7">
        <v>151978382</v>
      </c>
    </row>
    <row r="11" spans="1:16" x14ac:dyDescent="0.25">
      <c r="B11" s="46"/>
      <c r="C11" s="5" t="s">
        <v>375</v>
      </c>
      <c r="D11" s="7">
        <v>1204420</v>
      </c>
      <c r="E11" s="7">
        <v>2850000</v>
      </c>
      <c r="F11" s="7">
        <v>2165043</v>
      </c>
      <c r="G11" s="7">
        <v>150339182</v>
      </c>
    </row>
    <row r="12" spans="1:16" s="10" customFormat="1" x14ac:dyDescent="0.25">
      <c r="A12"/>
      <c r="B12" s="46"/>
      <c r="C12" s="5" t="s">
        <v>376</v>
      </c>
      <c r="D12" s="7">
        <v>2723000</v>
      </c>
      <c r="E12" s="7">
        <v>364000</v>
      </c>
      <c r="F12" s="7">
        <v>1291442</v>
      </c>
      <c r="G12" s="7">
        <v>156715644</v>
      </c>
      <c r="H12"/>
      <c r="I12"/>
      <c r="J12"/>
      <c r="K12"/>
      <c r="L12"/>
      <c r="M12"/>
      <c r="N12"/>
      <c r="O12"/>
    </row>
    <row r="13" spans="1:16" x14ac:dyDescent="0.25">
      <c r="B13" s="46"/>
      <c r="C13" s="5" t="s">
        <v>377</v>
      </c>
      <c r="D13" s="7">
        <v>2944000</v>
      </c>
      <c r="E13" s="7">
        <v>1564350</v>
      </c>
      <c r="F13" s="7">
        <v>9738476</v>
      </c>
      <c r="G13" s="7">
        <v>170575362.20999998</v>
      </c>
    </row>
    <row r="14" spans="1:16" x14ac:dyDescent="0.25">
      <c r="B14" s="46"/>
      <c r="C14" s="5" t="s">
        <v>378</v>
      </c>
      <c r="D14" s="7">
        <v>2094500</v>
      </c>
      <c r="E14" s="7">
        <v>752000</v>
      </c>
      <c r="F14" s="7">
        <v>8642577</v>
      </c>
      <c r="G14" s="7">
        <v>168642330</v>
      </c>
    </row>
    <row r="15" spans="1:16" x14ac:dyDescent="0.25">
      <c r="B15" s="46"/>
      <c r="C15" s="5" t="s">
        <v>379</v>
      </c>
      <c r="D15" s="7">
        <v>1618100</v>
      </c>
      <c r="E15" s="7">
        <v>3183000</v>
      </c>
      <c r="F15" s="7">
        <v>23309925.75</v>
      </c>
      <c r="G15" s="7">
        <v>217732991</v>
      </c>
    </row>
    <row r="16" spans="1:16" x14ac:dyDescent="0.25">
      <c r="B16" s="5" t="s">
        <v>381</v>
      </c>
      <c r="C16" s="5"/>
      <c r="D16" s="8">
        <f t="shared" ref="D16:F16" si="0">SUM(D3:D15)</f>
        <v>23002241</v>
      </c>
      <c r="E16" s="8">
        <f t="shared" si="0"/>
        <v>21987850</v>
      </c>
      <c r="F16" s="8">
        <f t="shared" si="0"/>
        <v>54741904.700000003</v>
      </c>
      <c r="G16" s="7">
        <v>217732991</v>
      </c>
    </row>
  </sheetData>
  <mergeCells count="3">
    <mergeCell ref="C1:G1"/>
    <mergeCell ref="B3:B7"/>
    <mergeCell ref="B8:B15"/>
  </mergeCells>
  <phoneticPr fontId="4" type="noConversion"/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70B4-88BA-4965-9467-98C7CB86DCBD}">
  <dimension ref="B1:EE148"/>
  <sheetViews>
    <sheetView topLeftCell="DR104" workbookViewId="0">
      <selection activeCell="ED115" sqref="ED115"/>
    </sheetView>
  </sheetViews>
  <sheetFormatPr defaultRowHeight="15" x14ac:dyDescent="0.25"/>
  <cols>
    <col min="1" max="1" width="12.7109375" customWidth="1"/>
    <col min="3" max="3" width="11" bestFit="1" customWidth="1"/>
    <col min="4" max="4" width="15.7109375" bestFit="1" customWidth="1"/>
    <col min="5" max="5" width="13.140625" bestFit="1" customWidth="1"/>
    <col min="6" max="6" width="15.7109375" bestFit="1" customWidth="1"/>
    <col min="7" max="7" width="9.28515625" customWidth="1"/>
    <col min="8" max="8" width="12.7109375" bestFit="1" customWidth="1"/>
    <col min="9" max="9" width="10.5703125" bestFit="1" customWidth="1"/>
    <col min="10" max="10" width="8.28515625" bestFit="1" customWidth="1"/>
    <col min="11" max="11" width="10.5703125" style="36" bestFit="1" customWidth="1"/>
    <col min="13" max="13" width="16.7109375" bestFit="1" customWidth="1"/>
    <col min="17" max="17" width="10.5703125" bestFit="1" customWidth="1"/>
    <col min="18" max="18" width="12" bestFit="1" customWidth="1"/>
    <col min="19" max="19" width="13.140625" bestFit="1" customWidth="1"/>
    <col min="21" max="21" width="12.5703125" bestFit="1" customWidth="1"/>
    <col min="25" max="25" width="10.5703125" bestFit="1" customWidth="1"/>
    <col min="26" max="26" width="12" bestFit="1" customWidth="1"/>
    <col min="27" max="27" width="13.140625" bestFit="1" customWidth="1"/>
    <col min="29" max="29" width="12.5703125" bestFit="1" customWidth="1"/>
    <col min="33" max="33" width="10.5703125" bestFit="1" customWidth="1"/>
    <col min="34" max="34" width="12" bestFit="1" customWidth="1"/>
    <col min="35" max="35" width="13.140625" bestFit="1" customWidth="1"/>
    <col min="37" max="37" width="12.5703125" bestFit="1" customWidth="1"/>
    <col min="40" max="40" width="10.5703125" bestFit="1" customWidth="1"/>
    <col min="41" max="41" width="12" bestFit="1" customWidth="1"/>
    <col min="42" max="42" width="13.140625" bestFit="1" customWidth="1"/>
    <col min="44" max="44" width="12.5703125" bestFit="1" customWidth="1"/>
    <col min="47" max="47" width="10.5703125" bestFit="1" customWidth="1"/>
    <col min="48" max="48" width="12" bestFit="1" customWidth="1"/>
    <col min="49" max="49" width="13.140625" bestFit="1" customWidth="1"/>
    <col min="51" max="51" width="12.5703125" bestFit="1" customWidth="1"/>
    <col min="52" max="52" width="12.5703125" customWidth="1"/>
    <col min="54" max="54" width="10.5703125" bestFit="1" customWidth="1"/>
    <col min="55" max="55" width="12" bestFit="1" customWidth="1"/>
    <col min="56" max="56" width="13.140625" bestFit="1" customWidth="1"/>
    <col min="58" max="58" width="12.5703125" bestFit="1" customWidth="1"/>
    <col min="61" max="61" width="10.5703125" bestFit="1" customWidth="1"/>
    <col min="62" max="62" width="12" bestFit="1" customWidth="1"/>
    <col min="63" max="63" width="13.140625" bestFit="1" customWidth="1"/>
    <col min="65" max="65" width="12.5703125" bestFit="1" customWidth="1"/>
    <col min="67" max="67" width="10.42578125" customWidth="1"/>
    <col min="68" max="68" width="10.5703125" bestFit="1" customWidth="1"/>
    <col min="69" max="69" width="12" bestFit="1" customWidth="1"/>
    <col min="70" max="70" width="13.140625" bestFit="1" customWidth="1"/>
    <col min="72" max="72" width="12.5703125" bestFit="1" customWidth="1"/>
    <col min="75" max="75" width="11.28515625" customWidth="1"/>
    <col min="76" max="76" width="12.28515625" customWidth="1"/>
    <col min="77" max="77" width="13.42578125" customWidth="1"/>
    <col min="79" max="79" width="11.5703125" bestFit="1" customWidth="1"/>
    <col min="81" max="81" width="11.140625" customWidth="1"/>
    <col min="82" max="82" width="9.42578125" customWidth="1"/>
    <col min="83" max="83" width="10.28515625" customWidth="1"/>
    <col min="84" max="84" width="11" customWidth="1"/>
    <col min="85" max="85" width="11" bestFit="1" customWidth="1"/>
    <col min="86" max="86" width="16.7109375" bestFit="1" customWidth="1"/>
    <col min="87" max="87" width="16.7109375" customWidth="1"/>
    <col min="88" max="88" width="11.7109375" customWidth="1"/>
    <col min="91" max="91" width="14.7109375" bestFit="1" customWidth="1"/>
    <col min="92" max="92" width="11" bestFit="1" customWidth="1"/>
    <col min="93" max="93" width="16.7109375" bestFit="1" customWidth="1"/>
    <col min="94" max="94" width="16.7109375" customWidth="1"/>
    <col min="98" max="98" width="14.7109375" bestFit="1" customWidth="1"/>
    <col min="99" max="99" width="11" bestFit="1" customWidth="1"/>
    <col min="100" max="100" width="16.7109375" bestFit="1" customWidth="1"/>
    <col min="101" max="101" width="16.7109375" customWidth="1"/>
    <col min="102" max="102" width="11.5703125" customWidth="1"/>
    <col min="103" max="103" width="16.28515625" customWidth="1"/>
    <col min="105" max="105" width="13.140625" bestFit="1" customWidth="1"/>
    <col min="106" max="106" width="14.7109375" bestFit="1" customWidth="1"/>
    <col min="107" max="107" width="16.7109375" bestFit="1" customWidth="1"/>
    <col min="108" max="108" width="14.85546875" customWidth="1"/>
    <col min="109" max="109" width="13.7109375" customWidth="1"/>
    <col min="111" max="111" width="12" bestFit="1" customWidth="1"/>
    <col min="112" max="112" width="14.7109375" bestFit="1" customWidth="1"/>
    <col min="113" max="113" width="11" bestFit="1" customWidth="1"/>
    <col min="114" max="114" width="16.7109375" bestFit="1" customWidth="1"/>
    <col min="115" max="115" width="16.7109375" customWidth="1"/>
    <col min="116" max="116" width="16" customWidth="1"/>
    <col min="118" max="118" width="12" bestFit="1" customWidth="1"/>
    <col min="119" max="119" width="14.7109375" bestFit="1" customWidth="1"/>
    <col min="120" max="120" width="11" bestFit="1" customWidth="1"/>
    <col min="121" max="122" width="16.7109375" customWidth="1"/>
    <col min="123" max="123" width="9.7109375" customWidth="1"/>
    <col min="124" max="124" width="12.140625" customWidth="1"/>
    <col min="125" max="125" width="12.7109375" bestFit="1" customWidth="1"/>
    <col min="126" max="126" width="14.7109375" bestFit="1" customWidth="1"/>
    <col min="127" max="127" width="11" bestFit="1" customWidth="1"/>
    <col min="128" max="128" width="16.7109375" style="10" bestFit="1" customWidth="1"/>
    <col min="129" max="129" width="16.7109375" style="10" customWidth="1"/>
    <col min="130" max="130" width="10.42578125" customWidth="1"/>
    <col min="131" max="131" width="8.42578125" bestFit="1" customWidth="1"/>
    <col min="132" max="132" width="21.7109375" bestFit="1" customWidth="1"/>
    <col min="133" max="133" width="7.28515625" bestFit="1" customWidth="1"/>
    <col min="134" max="134" width="11" bestFit="1" customWidth="1"/>
    <col min="135" max="135" width="16.7109375" bestFit="1" customWidth="1"/>
  </cols>
  <sheetData>
    <row r="1" spans="2:134" x14ac:dyDescent="0.25">
      <c r="B1" s="46" t="s">
        <v>112</v>
      </c>
      <c r="C1" s="46"/>
      <c r="D1" s="46"/>
      <c r="E1" s="46"/>
      <c r="F1" s="46"/>
      <c r="G1" s="18"/>
      <c r="H1" s="46" t="s">
        <v>225</v>
      </c>
      <c r="I1" s="46"/>
      <c r="J1" s="46"/>
      <c r="K1" s="46"/>
      <c r="L1" s="46"/>
      <c r="M1" s="18"/>
      <c r="N1" s="18"/>
      <c r="P1" s="47" t="s">
        <v>198</v>
      </c>
      <c r="Q1" s="47"/>
      <c r="R1" s="47"/>
      <c r="S1" s="47"/>
      <c r="T1" s="47"/>
      <c r="U1" s="2"/>
      <c r="V1" s="2"/>
      <c r="W1" s="2"/>
      <c r="X1" s="47" t="s">
        <v>199</v>
      </c>
      <c r="Y1" s="47"/>
      <c r="Z1" s="47"/>
      <c r="AA1" s="47"/>
      <c r="AB1" s="47"/>
      <c r="AC1" s="2"/>
      <c r="AD1" s="2"/>
      <c r="AE1" s="2"/>
      <c r="AF1" s="47" t="s">
        <v>231</v>
      </c>
      <c r="AG1" s="47"/>
      <c r="AH1" s="47"/>
      <c r="AI1" s="47"/>
      <c r="AJ1" s="47"/>
      <c r="AK1" s="2"/>
      <c r="AL1" s="2"/>
      <c r="AM1" s="48" t="s">
        <v>248</v>
      </c>
      <c r="AN1" s="49"/>
      <c r="AO1" s="49"/>
      <c r="AP1" s="49"/>
      <c r="AQ1" s="50"/>
      <c r="AT1" s="48" t="s">
        <v>249</v>
      </c>
      <c r="AU1" s="49"/>
      <c r="AV1" s="49"/>
      <c r="AW1" s="49"/>
      <c r="AX1" s="50"/>
      <c r="BA1" s="48" t="s">
        <v>257</v>
      </c>
      <c r="BB1" s="49"/>
      <c r="BC1" s="49"/>
      <c r="BD1" s="49"/>
      <c r="BE1" s="50"/>
      <c r="BH1" s="48" t="s">
        <v>278</v>
      </c>
      <c r="BI1" s="49"/>
      <c r="BJ1" s="49"/>
      <c r="BK1" s="49"/>
      <c r="BL1" s="50"/>
      <c r="BO1" s="48" t="s">
        <v>280</v>
      </c>
      <c r="BP1" s="49"/>
      <c r="BQ1" s="49"/>
      <c r="BR1" s="49"/>
      <c r="BS1" s="50"/>
      <c r="BV1" s="47" t="s">
        <v>309</v>
      </c>
      <c r="BW1" s="47"/>
      <c r="BX1" s="47"/>
      <c r="BY1" s="47"/>
      <c r="BZ1" s="47"/>
      <c r="CC1" t="s">
        <v>322</v>
      </c>
      <c r="CJ1" t="s">
        <v>326</v>
      </c>
      <c r="CQ1" t="s">
        <v>340</v>
      </c>
      <c r="CR1" s="5"/>
      <c r="CS1" s="5"/>
      <c r="CT1" s="5"/>
      <c r="CU1" s="5"/>
      <c r="CX1" s="2" t="s">
        <v>348</v>
      </c>
      <c r="DD1" t="s">
        <v>351</v>
      </c>
      <c r="DL1" t="s">
        <v>388</v>
      </c>
      <c r="DS1" t="s">
        <v>395</v>
      </c>
      <c r="DZ1" t="s">
        <v>403</v>
      </c>
    </row>
    <row r="2" spans="2:134" x14ac:dyDescent="0.25">
      <c r="B2" s="5" t="s">
        <v>113</v>
      </c>
      <c r="C2" s="5" t="s">
        <v>114</v>
      </c>
      <c r="D2" s="5" t="s">
        <v>115</v>
      </c>
      <c r="E2" s="5" t="s">
        <v>116</v>
      </c>
      <c r="F2" s="5" t="s">
        <v>117</v>
      </c>
      <c r="H2" s="5" t="s">
        <v>226</v>
      </c>
      <c r="I2" s="5" t="s">
        <v>200</v>
      </c>
      <c r="J2" s="5" t="s">
        <v>115</v>
      </c>
      <c r="K2" s="21" t="s">
        <v>116</v>
      </c>
      <c r="L2" s="5" t="s">
        <v>117</v>
      </c>
      <c r="P2" s="6" t="s">
        <v>113</v>
      </c>
      <c r="Q2" s="13" t="s">
        <v>200</v>
      </c>
      <c r="R2" s="12" t="s">
        <v>115</v>
      </c>
      <c r="S2" s="14" t="s">
        <v>116</v>
      </c>
      <c r="T2" s="6" t="s">
        <v>201</v>
      </c>
      <c r="U2" s="2"/>
      <c r="V2" s="2"/>
      <c r="W2" s="2"/>
      <c r="X2" s="6" t="s">
        <v>113</v>
      </c>
      <c r="Y2" s="13" t="s">
        <v>200</v>
      </c>
      <c r="Z2" s="12" t="s">
        <v>115</v>
      </c>
      <c r="AA2" s="14" t="s">
        <v>116</v>
      </c>
      <c r="AB2" s="6" t="s">
        <v>201</v>
      </c>
      <c r="AC2" s="2"/>
      <c r="AD2" s="2"/>
      <c r="AE2" s="2"/>
      <c r="AF2" s="6" t="s">
        <v>113</v>
      </c>
      <c r="AG2" s="13" t="s">
        <v>200</v>
      </c>
      <c r="AH2" s="12" t="s">
        <v>115</v>
      </c>
      <c r="AI2" s="14" t="s">
        <v>116</v>
      </c>
      <c r="AJ2" s="6" t="s">
        <v>201</v>
      </c>
      <c r="AK2" s="2"/>
      <c r="AL2" s="2"/>
      <c r="AM2" s="6" t="s">
        <v>113</v>
      </c>
      <c r="AN2" s="6" t="s">
        <v>200</v>
      </c>
      <c r="AO2" s="6" t="s">
        <v>115</v>
      </c>
      <c r="AP2" s="6" t="s">
        <v>116</v>
      </c>
      <c r="AQ2" s="6" t="s">
        <v>117</v>
      </c>
      <c r="AT2" s="6" t="s">
        <v>113</v>
      </c>
      <c r="AU2" s="6" t="s">
        <v>250</v>
      </c>
      <c r="AV2" s="6" t="s">
        <v>115</v>
      </c>
      <c r="AW2" s="6" t="s">
        <v>116</v>
      </c>
      <c r="AX2" s="6" t="s">
        <v>117</v>
      </c>
      <c r="BA2" s="6" t="s">
        <v>113</v>
      </c>
      <c r="BB2" s="6" t="s">
        <v>250</v>
      </c>
      <c r="BC2" s="6" t="s">
        <v>115</v>
      </c>
      <c r="BD2" s="6" t="s">
        <v>116</v>
      </c>
      <c r="BE2" s="6" t="s">
        <v>117</v>
      </c>
      <c r="BH2" s="6" t="s">
        <v>113</v>
      </c>
      <c r="BI2" s="6" t="s">
        <v>250</v>
      </c>
      <c r="BJ2" s="6" t="s">
        <v>115</v>
      </c>
      <c r="BK2" s="6" t="s">
        <v>116</v>
      </c>
      <c r="BL2" s="6" t="s">
        <v>117</v>
      </c>
      <c r="BO2" s="6" t="s">
        <v>113</v>
      </c>
      <c r="BP2" s="6" t="s">
        <v>250</v>
      </c>
      <c r="BQ2" s="6" t="s">
        <v>115</v>
      </c>
      <c r="BR2" s="6" t="s">
        <v>116</v>
      </c>
      <c r="BS2" s="6" t="s">
        <v>117</v>
      </c>
      <c r="BV2" s="6" t="s">
        <v>113</v>
      </c>
      <c r="BW2" s="6" t="s">
        <v>310</v>
      </c>
      <c r="BX2" s="6" t="s">
        <v>311</v>
      </c>
      <c r="BY2" s="6" t="s">
        <v>116</v>
      </c>
      <c r="BZ2" s="6" t="s">
        <v>312</v>
      </c>
      <c r="CC2" t="s">
        <v>113</v>
      </c>
      <c r="CD2" t="s">
        <v>310</v>
      </c>
      <c r="CE2" t="s">
        <v>311</v>
      </c>
      <c r="CF2" t="s">
        <v>116</v>
      </c>
      <c r="CG2" t="s">
        <v>312</v>
      </c>
      <c r="CJ2" t="s">
        <v>113</v>
      </c>
      <c r="CK2" t="s">
        <v>310</v>
      </c>
      <c r="CL2" t="s">
        <v>311</v>
      </c>
      <c r="CM2" t="s">
        <v>116</v>
      </c>
      <c r="CN2" t="s">
        <v>312</v>
      </c>
      <c r="CQ2" s="5" t="s">
        <v>113</v>
      </c>
      <c r="CR2" s="5" t="s">
        <v>310</v>
      </c>
      <c r="CS2" s="5" t="s">
        <v>311</v>
      </c>
      <c r="CT2" s="5" t="s">
        <v>116</v>
      </c>
      <c r="CU2" s="5" t="s">
        <v>312</v>
      </c>
      <c r="CX2" t="s">
        <v>113</v>
      </c>
      <c r="CY2" t="s">
        <v>310</v>
      </c>
      <c r="CZ2" t="s">
        <v>311</v>
      </c>
      <c r="DA2" t="s">
        <v>116</v>
      </c>
      <c r="DB2" t="s">
        <v>312</v>
      </c>
      <c r="DD2" t="s">
        <v>113</v>
      </c>
      <c r="DE2" t="s">
        <v>200</v>
      </c>
      <c r="DF2" t="s">
        <v>311</v>
      </c>
      <c r="DG2" t="s">
        <v>116</v>
      </c>
      <c r="DH2" t="s">
        <v>117</v>
      </c>
      <c r="DL2" t="s">
        <v>113</v>
      </c>
      <c r="DM2" t="s">
        <v>310</v>
      </c>
      <c r="DN2" t="s">
        <v>389</v>
      </c>
      <c r="DO2" t="s">
        <v>116</v>
      </c>
      <c r="DP2" t="s">
        <v>312</v>
      </c>
      <c r="DS2" t="s">
        <v>113</v>
      </c>
      <c r="DT2" t="s">
        <v>200</v>
      </c>
      <c r="DU2" t="s">
        <v>396</v>
      </c>
      <c r="DV2" t="s">
        <v>116</v>
      </c>
      <c r="DZ2" t="s">
        <v>113</v>
      </c>
      <c r="EA2" t="s">
        <v>200</v>
      </c>
      <c r="EB2" t="s">
        <v>396</v>
      </c>
      <c r="EC2" t="s">
        <v>116</v>
      </c>
      <c r="ED2" t="s">
        <v>117</v>
      </c>
    </row>
    <row r="3" spans="2:134" x14ac:dyDescent="0.25">
      <c r="B3" s="5">
        <v>0.45</v>
      </c>
      <c r="C3" s="5"/>
      <c r="D3" s="5"/>
      <c r="E3" s="5"/>
      <c r="F3" s="5"/>
      <c r="H3" s="5">
        <v>0.45</v>
      </c>
      <c r="I3" s="5"/>
      <c r="J3" s="5"/>
      <c r="K3" s="21"/>
      <c r="L3" s="5"/>
      <c r="P3" s="5"/>
      <c r="Q3" s="13">
        <v>0.45</v>
      </c>
      <c r="R3" s="11"/>
      <c r="S3" s="15"/>
      <c r="T3" s="5"/>
      <c r="X3" s="5"/>
      <c r="Y3" s="13">
        <v>0.45</v>
      </c>
      <c r="Z3" s="11"/>
      <c r="AA3" s="15"/>
      <c r="AB3" s="5"/>
      <c r="AF3" s="5"/>
      <c r="AG3" s="13">
        <v>0.45</v>
      </c>
      <c r="AH3" s="11"/>
      <c r="AI3" s="15"/>
      <c r="AJ3" s="5"/>
      <c r="AM3" s="5">
        <v>0.45</v>
      </c>
      <c r="AN3" s="5"/>
      <c r="AO3" s="5"/>
      <c r="AP3" s="5"/>
      <c r="AQ3" s="5"/>
      <c r="AT3" s="5">
        <v>0.45</v>
      </c>
      <c r="AU3" s="5"/>
      <c r="AV3" s="5"/>
      <c r="AW3" s="5"/>
      <c r="AX3" s="5"/>
      <c r="BA3" s="5">
        <v>0.45</v>
      </c>
      <c r="BB3" s="5"/>
      <c r="BC3" s="5"/>
      <c r="BD3" s="5"/>
      <c r="BE3" s="5"/>
      <c r="BH3" s="5">
        <v>0.45</v>
      </c>
      <c r="BI3" s="5"/>
      <c r="BJ3" s="5"/>
      <c r="BK3" s="5"/>
      <c r="BL3" s="5"/>
      <c r="BO3" s="5">
        <v>0.45</v>
      </c>
      <c r="BP3" s="5"/>
      <c r="BQ3" s="5"/>
      <c r="BR3" s="5"/>
      <c r="BS3" s="5"/>
      <c r="BV3" s="5">
        <v>0.45</v>
      </c>
      <c r="BW3" s="5"/>
      <c r="BX3" s="5"/>
      <c r="BY3" s="5"/>
      <c r="BZ3" s="5"/>
      <c r="CC3">
        <v>0.45</v>
      </c>
      <c r="CJ3">
        <v>0.45</v>
      </c>
      <c r="CQ3" s="5">
        <v>0.45</v>
      </c>
      <c r="CR3" s="5"/>
      <c r="CS3" s="5"/>
      <c r="CT3" s="5"/>
      <c r="CU3" s="5"/>
      <c r="CX3">
        <v>0.45</v>
      </c>
      <c r="DD3">
        <v>0.45</v>
      </c>
      <c r="DL3">
        <v>0.45</v>
      </c>
      <c r="DS3" t="s">
        <v>313</v>
      </c>
      <c r="DZ3">
        <v>0.7</v>
      </c>
    </row>
    <row r="4" spans="2:134" x14ac:dyDescent="0.25">
      <c r="B4" s="5">
        <v>1</v>
      </c>
      <c r="C4" s="5" t="s">
        <v>118</v>
      </c>
      <c r="D4" s="5">
        <v>1399</v>
      </c>
      <c r="E4" s="5">
        <v>1766</v>
      </c>
      <c r="F4" s="5"/>
      <c r="H4" s="5">
        <v>1</v>
      </c>
      <c r="I4" s="5" t="s">
        <v>119</v>
      </c>
      <c r="J4" s="5">
        <v>1257</v>
      </c>
      <c r="K4" s="21">
        <v>360</v>
      </c>
      <c r="L4" s="5"/>
      <c r="P4" s="5">
        <v>1</v>
      </c>
      <c r="Q4" s="16" t="s">
        <v>118</v>
      </c>
      <c r="R4" s="11">
        <v>1399</v>
      </c>
      <c r="S4" s="15">
        <v>1530</v>
      </c>
      <c r="T4" s="5"/>
      <c r="X4" s="5">
        <v>1</v>
      </c>
      <c r="Y4" s="16" t="s">
        <v>118</v>
      </c>
      <c r="Z4" s="11">
        <v>1399</v>
      </c>
      <c r="AA4" s="15">
        <v>1515</v>
      </c>
      <c r="AB4" s="5"/>
      <c r="AF4" s="5">
        <v>1</v>
      </c>
      <c r="AG4" s="16" t="s">
        <v>118</v>
      </c>
      <c r="AH4" s="11">
        <v>1399</v>
      </c>
      <c r="AI4" s="15">
        <v>1445</v>
      </c>
      <c r="AJ4" s="5"/>
      <c r="AM4" s="5">
        <v>1</v>
      </c>
      <c r="AN4" s="5" t="s">
        <v>118</v>
      </c>
      <c r="AO4" s="5">
        <v>1399</v>
      </c>
      <c r="AP4" s="5">
        <v>1421</v>
      </c>
      <c r="AQ4" s="5"/>
      <c r="AT4" s="5">
        <v>1</v>
      </c>
      <c r="AU4" s="5" t="s">
        <v>119</v>
      </c>
      <c r="AV4" s="5">
        <v>1257</v>
      </c>
      <c r="AW4" s="5">
        <v>264</v>
      </c>
      <c r="AX4" s="5"/>
      <c r="BA4" s="5">
        <v>1</v>
      </c>
      <c r="BB4" s="5" t="s">
        <v>119</v>
      </c>
      <c r="BC4" s="5">
        <v>1257</v>
      </c>
      <c r="BD4" s="5">
        <v>264</v>
      </c>
      <c r="BE4" s="5"/>
      <c r="BH4" s="5">
        <v>1</v>
      </c>
      <c r="BI4" s="5" t="s">
        <v>119</v>
      </c>
      <c r="BJ4" s="5">
        <v>1257</v>
      </c>
      <c r="BK4" s="5">
        <v>264</v>
      </c>
      <c r="BL4" s="5"/>
      <c r="BO4" s="5">
        <v>1</v>
      </c>
      <c r="BP4" s="5" t="s">
        <v>119</v>
      </c>
      <c r="BQ4" s="5">
        <v>1257</v>
      </c>
      <c r="BR4" s="5">
        <v>231</v>
      </c>
      <c r="BS4" s="5"/>
      <c r="BV4" s="5">
        <v>1</v>
      </c>
      <c r="BW4" s="5" t="s">
        <v>119</v>
      </c>
      <c r="BX4" s="5">
        <v>1257</v>
      </c>
      <c r="BY4" s="5">
        <v>170</v>
      </c>
      <c r="BZ4" s="5"/>
      <c r="CC4">
        <v>1</v>
      </c>
      <c r="CD4" t="s">
        <v>119</v>
      </c>
      <c r="CE4">
        <v>1257</v>
      </c>
      <c r="CF4">
        <v>170</v>
      </c>
      <c r="CJ4">
        <v>1</v>
      </c>
      <c r="CK4" t="s">
        <v>119</v>
      </c>
      <c r="CL4">
        <v>1257</v>
      </c>
      <c r="CM4">
        <v>156</v>
      </c>
      <c r="CQ4" s="5">
        <v>1</v>
      </c>
      <c r="CR4" s="5" t="s">
        <v>118</v>
      </c>
      <c r="CS4" s="5">
        <v>1399</v>
      </c>
      <c r="CT4" s="5">
        <v>888</v>
      </c>
      <c r="CU4" s="5"/>
      <c r="CX4">
        <v>1</v>
      </c>
      <c r="CY4" t="s">
        <v>118</v>
      </c>
      <c r="CZ4">
        <v>1399</v>
      </c>
      <c r="DA4">
        <v>862</v>
      </c>
      <c r="DD4">
        <v>1</v>
      </c>
      <c r="DE4" t="s">
        <v>120</v>
      </c>
      <c r="DF4">
        <v>1435</v>
      </c>
      <c r="DG4">
        <v>68</v>
      </c>
      <c r="DL4">
        <v>1</v>
      </c>
      <c r="DM4" t="s">
        <v>119</v>
      </c>
      <c r="DN4">
        <v>1257</v>
      </c>
      <c r="DO4">
        <v>84</v>
      </c>
      <c r="DS4">
        <v>1</v>
      </c>
      <c r="DT4" t="s">
        <v>122</v>
      </c>
      <c r="DU4">
        <v>1878</v>
      </c>
      <c r="DV4">
        <v>778</v>
      </c>
      <c r="DZ4">
        <v>1</v>
      </c>
      <c r="EA4" t="s">
        <v>253</v>
      </c>
      <c r="EB4">
        <v>1552</v>
      </c>
      <c r="EC4">
        <v>55</v>
      </c>
    </row>
    <row r="5" spans="2:134" x14ac:dyDescent="0.25">
      <c r="B5" s="5">
        <v>2</v>
      </c>
      <c r="C5" s="5" t="s">
        <v>119</v>
      </c>
      <c r="D5" s="5">
        <v>1257</v>
      </c>
      <c r="E5" s="5">
        <v>745</v>
      </c>
      <c r="F5" s="5"/>
      <c r="H5" s="5">
        <v>2</v>
      </c>
      <c r="I5" s="5" t="s">
        <v>118</v>
      </c>
      <c r="J5" s="5">
        <v>1399</v>
      </c>
      <c r="K5" s="21">
        <v>1671</v>
      </c>
      <c r="L5" s="5"/>
      <c r="P5" s="5">
        <v>2</v>
      </c>
      <c r="Q5" s="16" t="s">
        <v>119</v>
      </c>
      <c r="R5" s="11">
        <v>1257</v>
      </c>
      <c r="S5" s="15">
        <v>314</v>
      </c>
      <c r="T5" s="5"/>
      <c r="X5" s="5">
        <v>2</v>
      </c>
      <c r="Y5" s="16" t="s">
        <v>119</v>
      </c>
      <c r="Z5" s="11">
        <v>1257</v>
      </c>
      <c r="AA5" s="15">
        <v>307</v>
      </c>
      <c r="AB5" s="5"/>
      <c r="AF5" s="5">
        <v>2</v>
      </c>
      <c r="AG5" s="16" t="s">
        <v>119</v>
      </c>
      <c r="AH5" s="11">
        <v>1257</v>
      </c>
      <c r="AI5" s="15">
        <v>302</v>
      </c>
      <c r="AJ5" s="5"/>
      <c r="AM5" s="5">
        <v>2</v>
      </c>
      <c r="AN5" s="5" t="s">
        <v>119</v>
      </c>
      <c r="AO5" s="5">
        <v>1257</v>
      </c>
      <c r="AP5" s="5">
        <v>282</v>
      </c>
      <c r="AQ5" s="5"/>
      <c r="AT5" s="5">
        <v>2</v>
      </c>
      <c r="AU5" s="5" t="s">
        <v>118</v>
      </c>
      <c r="AV5" s="5">
        <v>1399</v>
      </c>
      <c r="AW5" s="5">
        <v>1365</v>
      </c>
      <c r="AX5" s="5"/>
      <c r="BA5" s="5">
        <v>2</v>
      </c>
      <c r="BB5" s="5" t="s">
        <v>118</v>
      </c>
      <c r="BC5" s="5">
        <v>1399</v>
      </c>
      <c r="BD5" s="5">
        <v>1252</v>
      </c>
      <c r="BE5" s="5"/>
      <c r="BH5" s="5">
        <v>2</v>
      </c>
      <c r="BI5" s="5" t="s">
        <v>118</v>
      </c>
      <c r="BJ5" s="5">
        <v>1399</v>
      </c>
      <c r="BK5" s="5">
        <v>1187</v>
      </c>
      <c r="BL5" s="5"/>
      <c r="BO5" s="5">
        <v>2</v>
      </c>
      <c r="BP5" s="5" t="s">
        <v>118</v>
      </c>
      <c r="BQ5" s="5">
        <v>1399</v>
      </c>
      <c r="BR5" s="5">
        <v>1154</v>
      </c>
      <c r="BS5" s="5"/>
      <c r="BV5" s="5">
        <v>2</v>
      </c>
      <c r="BW5" s="5" t="s">
        <v>118</v>
      </c>
      <c r="BX5" s="5">
        <v>1399</v>
      </c>
      <c r="BY5" s="5">
        <v>1101</v>
      </c>
      <c r="BZ5" s="5"/>
      <c r="CC5">
        <v>2</v>
      </c>
      <c r="CD5" t="s">
        <v>118</v>
      </c>
      <c r="CE5">
        <v>1399</v>
      </c>
      <c r="CF5">
        <v>954</v>
      </c>
      <c r="CJ5">
        <v>2</v>
      </c>
      <c r="CK5" t="s">
        <v>118</v>
      </c>
      <c r="CL5">
        <v>1399</v>
      </c>
      <c r="CM5">
        <v>888</v>
      </c>
      <c r="CQ5" s="5">
        <v>2</v>
      </c>
      <c r="CR5" s="5" t="s">
        <v>120</v>
      </c>
      <c r="CS5" s="5">
        <v>1435</v>
      </c>
      <c r="CT5" s="5">
        <v>173</v>
      </c>
      <c r="CU5" s="5"/>
      <c r="CX5">
        <v>2</v>
      </c>
      <c r="CY5" t="s">
        <v>120</v>
      </c>
      <c r="CZ5">
        <v>1435</v>
      </c>
      <c r="DA5">
        <v>139</v>
      </c>
      <c r="DD5">
        <v>2</v>
      </c>
      <c r="DE5" t="s">
        <v>119</v>
      </c>
      <c r="DF5">
        <v>1257</v>
      </c>
      <c r="DG5">
        <v>125</v>
      </c>
      <c r="DL5">
        <v>2</v>
      </c>
      <c r="DM5" t="s">
        <v>120</v>
      </c>
      <c r="DN5">
        <v>1435</v>
      </c>
      <c r="DO5">
        <v>50</v>
      </c>
      <c r="DS5">
        <v>2</v>
      </c>
      <c r="DT5" t="s">
        <v>121</v>
      </c>
      <c r="DU5">
        <v>1811</v>
      </c>
      <c r="DV5">
        <v>34</v>
      </c>
      <c r="DZ5">
        <v>2</v>
      </c>
      <c r="EA5" t="s">
        <v>228</v>
      </c>
      <c r="EB5">
        <v>1594</v>
      </c>
      <c r="EC5">
        <v>64</v>
      </c>
    </row>
    <row r="6" spans="2:134" x14ac:dyDescent="0.25">
      <c r="B6" s="5">
        <v>3</v>
      </c>
      <c r="C6" s="5" t="s">
        <v>120</v>
      </c>
      <c r="D6" s="5">
        <v>1331</v>
      </c>
      <c r="E6" s="5">
        <v>1064</v>
      </c>
      <c r="F6" s="5"/>
      <c r="H6" s="5">
        <v>3</v>
      </c>
      <c r="I6" s="5" t="s">
        <v>120</v>
      </c>
      <c r="J6" s="5">
        <v>1435</v>
      </c>
      <c r="K6" s="21">
        <v>485</v>
      </c>
      <c r="L6" s="5"/>
      <c r="P6" s="5">
        <v>3</v>
      </c>
      <c r="Q6" s="16" t="s">
        <v>120</v>
      </c>
      <c r="R6" s="11">
        <v>1416</v>
      </c>
      <c r="S6" s="15">
        <v>388</v>
      </c>
      <c r="T6" s="5"/>
      <c r="X6" s="5">
        <v>3</v>
      </c>
      <c r="Y6" s="16" t="s">
        <v>120</v>
      </c>
      <c r="Z6" s="11">
        <v>1416</v>
      </c>
      <c r="AA6" s="15">
        <v>388</v>
      </c>
      <c r="AB6" s="5"/>
      <c r="AF6" s="5">
        <v>3</v>
      </c>
      <c r="AG6" s="16" t="s">
        <v>120</v>
      </c>
      <c r="AH6" s="11">
        <v>1416</v>
      </c>
      <c r="AI6" s="15">
        <v>388</v>
      </c>
      <c r="AJ6" s="5"/>
      <c r="AM6" s="5">
        <v>3</v>
      </c>
      <c r="AN6" s="5" t="s">
        <v>120</v>
      </c>
      <c r="AO6" s="5">
        <v>1416</v>
      </c>
      <c r="AP6" s="5">
        <v>388</v>
      </c>
      <c r="AQ6" s="5"/>
      <c r="AT6" s="5">
        <v>3</v>
      </c>
      <c r="AU6" s="5" t="s">
        <v>120</v>
      </c>
      <c r="AV6" s="5">
        <v>1455</v>
      </c>
      <c r="AW6" s="5">
        <v>413</v>
      </c>
      <c r="AX6" s="5"/>
      <c r="BA6" s="5">
        <v>3</v>
      </c>
      <c r="BB6" s="5" t="s">
        <v>120</v>
      </c>
      <c r="BC6" s="5">
        <v>1455</v>
      </c>
      <c r="BD6" s="5">
        <v>413</v>
      </c>
      <c r="BE6" s="5"/>
      <c r="BH6" s="5">
        <v>3</v>
      </c>
      <c r="BI6" s="5" t="s">
        <v>120</v>
      </c>
      <c r="BJ6" s="5">
        <v>1435</v>
      </c>
      <c r="BK6" s="5">
        <v>379</v>
      </c>
      <c r="BL6" s="5"/>
      <c r="BO6" s="5">
        <v>3</v>
      </c>
      <c r="BP6" s="5" t="s">
        <v>120</v>
      </c>
      <c r="BQ6" s="5">
        <v>1435</v>
      </c>
      <c r="BR6" s="5">
        <v>388</v>
      </c>
      <c r="BS6" s="5"/>
      <c r="BV6" s="5">
        <v>3</v>
      </c>
      <c r="BW6" s="5" t="s">
        <v>120</v>
      </c>
      <c r="BX6" s="5">
        <v>1435</v>
      </c>
      <c r="BY6" s="5">
        <v>351</v>
      </c>
      <c r="BZ6" s="5"/>
      <c r="CC6">
        <v>3</v>
      </c>
      <c r="CD6" t="s">
        <v>120</v>
      </c>
      <c r="CE6">
        <v>1435</v>
      </c>
      <c r="CF6">
        <v>250</v>
      </c>
      <c r="CJ6">
        <v>3</v>
      </c>
      <c r="CK6" t="s">
        <v>120</v>
      </c>
      <c r="CL6">
        <v>1435</v>
      </c>
      <c r="CM6">
        <v>250</v>
      </c>
      <c r="CQ6" s="5">
        <v>3</v>
      </c>
      <c r="CR6" s="5" t="s">
        <v>119</v>
      </c>
      <c r="CS6" s="5">
        <v>1257</v>
      </c>
      <c r="CT6" s="5">
        <v>121</v>
      </c>
      <c r="CU6" s="5"/>
      <c r="CX6">
        <v>3</v>
      </c>
      <c r="CY6" t="s">
        <v>119</v>
      </c>
      <c r="CZ6">
        <v>1257</v>
      </c>
      <c r="DA6">
        <v>125</v>
      </c>
      <c r="DD6">
        <v>3</v>
      </c>
      <c r="DE6" t="s">
        <v>118</v>
      </c>
      <c r="DF6">
        <v>1399</v>
      </c>
      <c r="DG6">
        <v>847</v>
      </c>
      <c r="DL6">
        <v>3</v>
      </c>
      <c r="DM6" t="s">
        <v>118</v>
      </c>
      <c r="DN6">
        <v>1399</v>
      </c>
      <c r="DO6">
        <v>841</v>
      </c>
      <c r="DT6" t="s">
        <v>121</v>
      </c>
      <c r="DV6">
        <v>758</v>
      </c>
      <c r="DZ6">
        <v>3</v>
      </c>
      <c r="EA6" t="s">
        <v>119</v>
      </c>
      <c r="EB6">
        <v>1597</v>
      </c>
      <c r="EC6">
        <v>161</v>
      </c>
    </row>
    <row r="7" spans="2:134" x14ac:dyDescent="0.25">
      <c r="B7" s="5">
        <v>4</v>
      </c>
      <c r="C7" s="5" t="s">
        <v>121</v>
      </c>
      <c r="D7" s="5">
        <v>1198</v>
      </c>
      <c r="E7" s="5">
        <v>220</v>
      </c>
      <c r="F7" s="5"/>
      <c r="H7" s="5">
        <v>4</v>
      </c>
      <c r="I7" s="5" t="s">
        <v>202</v>
      </c>
      <c r="J7" s="5">
        <v>1416</v>
      </c>
      <c r="K7" s="21">
        <v>388</v>
      </c>
      <c r="L7" s="5"/>
      <c r="P7" s="5">
        <v>4</v>
      </c>
      <c r="Q7" s="16" t="s">
        <v>120</v>
      </c>
      <c r="R7" s="11">
        <v>1435</v>
      </c>
      <c r="S7" s="15">
        <v>485</v>
      </c>
      <c r="T7" s="5"/>
      <c r="X7" s="5">
        <v>4</v>
      </c>
      <c r="Y7" s="16" t="s">
        <v>120</v>
      </c>
      <c r="Z7" s="11">
        <v>1435</v>
      </c>
      <c r="AA7" s="15">
        <v>453</v>
      </c>
      <c r="AB7" s="5"/>
      <c r="AF7" s="5">
        <v>4</v>
      </c>
      <c r="AG7" s="16" t="s">
        <v>120</v>
      </c>
      <c r="AH7" s="11">
        <v>1435</v>
      </c>
      <c r="AI7" s="15">
        <v>413</v>
      </c>
      <c r="AJ7" s="5"/>
      <c r="AM7" s="5">
        <v>4</v>
      </c>
      <c r="AN7" s="5" t="s">
        <v>120</v>
      </c>
      <c r="AO7" s="5">
        <v>1435</v>
      </c>
      <c r="AP7" s="5">
        <v>413</v>
      </c>
      <c r="AQ7" s="5"/>
      <c r="AT7" s="5">
        <v>4</v>
      </c>
      <c r="AU7" s="5" t="s">
        <v>120</v>
      </c>
      <c r="AV7" s="5">
        <v>1416</v>
      </c>
      <c r="AW7" s="5">
        <v>388</v>
      </c>
      <c r="AX7" s="5"/>
      <c r="BA7" s="5">
        <v>4</v>
      </c>
      <c r="BB7" s="5" t="s">
        <v>120</v>
      </c>
      <c r="BC7" s="5">
        <v>1416</v>
      </c>
      <c r="BD7" s="5">
        <v>388</v>
      </c>
      <c r="BE7" s="5"/>
      <c r="BH7" s="5">
        <v>4</v>
      </c>
      <c r="BI7" s="5" t="s">
        <v>120</v>
      </c>
      <c r="BJ7" s="5">
        <v>1415</v>
      </c>
      <c r="BK7" s="5">
        <v>100</v>
      </c>
      <c r="BL7" s="5"/>
      <c r="BO7" s="5">
        <v>4</v>
      </c>
      <c r="BP7" s="5" t="s">
        <v>120</v>
      </c>
      <c r="BQ7" s="5">
        <v>1415</v>
      </c>
      <c r="BR7" s="5">
        <v>103</v>
      </c>
      <c r="BS7" s="5"/>
      <c r="BV7" s="5"/>
      <c r="BW7" s="5"/>
      <c r="BX7" s="5"/>
      <c r="BY7" s="5">
        <f>SUM(BY4:BY6)</f>
        <v>1622</v>
      </c>
      <c r="BZ7" s="5"/>
      <c r="CF7">
        <v>1374</v>
      </c>
      <c r="CM7">
        <v>1294</v>
      </c>
      <c r="CQ7" s="5"/>
      <c r="CR7" s="5"/>
      <c r="CS7" s="5"/>
      <c r="CT7" s="5">
        <f>SUM(CT4:CT6)</f>
        <v>1182</v>
      </c>
      <c r="CU7" s="5"/>
      <c r="DA7">
        <f>SUM(DA4:DA6)</f>
        <v>1126</v>
      </c>
      <c r="DG7">
        <f>SUM(DG4:DG6)</f>
        <v>1040</v>
      </c>
      <c r="DO7">
        <f>SUM(DO4:DO6)</f>
        <v>975</v>
      </c>
      <c r="DT7" t="s">
        <v>123</v>
      </c>
      <c r="DV7">
        <v>741</v>
      </c>
      <c r="DZ7">
        <v>4</v>
      </c>
      <c r="EA7" t="s">
        <v>125</v>
      </c>
      <c r="EB7">
        <v>1604</v>
      </c>
      <c r="EC7">
        <v>540</v>
      </c>
    </row>
    <row r="8" spans="2:134" x14ac:dyDescent="0.25">
      <c r="B8" s="5"/>
      <c r="C8" s="5"/>
      <c r="D8" s="5"/>
      <c r="E8" s="5"/>
      <c r="F8" s="5"/>
      <c r="H8" s="5"/>
      <c r="I8" s="5"/>
      <c r="J8" s="5"/>
      <c r="K8" s="21"/>
      <c r="L8" s="5"/>
      <c r="P8" s="5"/>
      <c r="Q8" s="16"/>
      <c r="R8" s="11"/>
      <c r="S8" s="15"/>
      <c r="T8" s="5"/>
      <c r="X8" s="5"/>
      <c r="Y8" s="16"/>
      <c r="Z8" s="11"/>
      <c r="AA8" s="15"/>
      <c r="AB8" s="5"/>
      <c r="AF8" s="5"/>
      <c r="AG8" s="16"/>
      <c r="AH8" s="11"/>
      <c r="AI8" s="15"/>
      <c r="AJ8" s="5"/>
      <c r="AM8" s="5"/>
      <c r="AN8" s="5"/>
      <c r="AO8" s="5"/>
      <c r="AP8" s="5"/>
      <c r="AQ8" s="5"/>
      <c r="AT8" s="5"/>
      <c r="AU8" s="5"/>
      <c r="AV8" s="5"/>
      <c r="AW8" s="5"/>
      <c r="AX8" s="5"/>
      <c r="BA8" s="5"/>
      <c r="BB8" s="5"/>
      <c r="BC8" s="5"/>
      <c r="BD8" s="5"/>
      <c r="BE8" s="5"/>
      <c r="BH8" s="5"/>
      <c r="BI8" s="5"/>
      <c r="BJ8" s="5"/>
      <c r="BK8" s="6">
        <f>SUM(BK4:BK7)</f>
        <v>1930</v>
      </c>
      <c r="BL8" s="5"/>
      <c r="BO8" s="5"/>
      <c r="BP8" s="5"/>
      <c r="BQ8" s="5"/>
      <c r="BR8" s="6">
        <f>SUM(BR4:BR7)</f>
        <v>1876</v>
      </c>
      <c r="BS8" s="5"/>
      <c r="BV8" s="5">
        <v>0.55000000000000004</v>
      </c>
      <c r="BW8" s="5"/>
      <c r="BX8" s="5"/>
      <c r="BY8" s="5"/>
      <c r="BZ8" s="5"/>
      <c r="CC8">
        <v>0.55000000000000004</v>
      </c>
      <c r="CJ8">
        <v>0.55000000000000004</v>
      </c>
      <c r="CQ8" s="5">
        <v>0.55000000000000004</v>
      </c>
      <c r="CR8" s="5"/>
      <c r="CS8" s="5"/>
      <c r="CT8" s="5"/>
      <c r="CU8" s="5"/>
      <c r="DT8" t="s">
        <v>123</v>
      </c>
      <c r="DV8">
        <v>389</v>
      </c>
      <c r="DZ8">
        <v>5</v>
      </c>
      <c r="EA8" t="s">
        <v>118</v>
      </c>
      <c r="EB8">
        <v>1866</v>
      </c>
      <c r="EC8">
        <v>225</v>
      </c>
    </row>
    <row r="9" spans="2:134" x14ac:dyDescent="0.25">
      <c r="B9" s="5"/>
      <c r="C9" s="5"/>
      <c r="D9" s="5"/>
      <c r="E9" s="6">
        <f>SUM(E4:E7)</f>
        <v>3795</v>
      </c>
      <c r="F9" s="5"/>
      <c r="H9" s="5">
        <v>5</v>
      </c>
      <c r="I9" s="5" t="s">
        <v>202</v>
      </c>
      <c r="J9" s="5">
        <v>1415</v>
      </c>
      <c r="K9" s="21">
        <v>652</v>
      </c>
      <c r="L9" s="5"/>
      <c r="P9" s="5">
        <v>5</v>
      </c>
      <c r="Q9" s="16" t="s">
        <v>202</v>
      </c>
      <c r="R9" s="11">
        <v>1415</v>
      </c>
      <c r="S9" s="15">
        <v>652</v>
      </c>
      <c r="T9" s="5"/>
      <c r="X9" s="5">
        <v>5</v>
      </c>
      <c r="Y9" s="16" t="s">
        <v>202</v>
      </c>
      <c r="Z9" s="11">
        <v>1415</v>
      </c>
      <c r="AA9" s="15">
        <v>652</v>
      </c>
      <c r="AB9" s="5"/>
      <c r="AF9" s="5">
        <v>5</v>
      </c>
      <c r="AG9" s="16" t="s">
        <v>202</v>
      </c>
      <c r="AH9" s="11">
        <v>1415</v>
      </c>
      <c r="AI9" s="15">
        <v>633</v>
      </c>
      <c r="AJ9" s="5"/>
      <c r="AM9" s="5">
        <v>5</v>
      </c>
      <c r="AN9" s="5" t="s">
        <v>202</v>
      </c>
      <c r="AO9" s="5">
        <v>1415</v>
      </c>
      <c r="AP9" s="5">
        <v>633</v>
      </c>
      <c r="AQ9" s="5"/>
      <c r="AT9" s="5">
        <v>5</v>
      </c>
      <c r="AU9" s="5" t="s">
        <v>120</v>
      </c>
      <c r="AV9" s="5">
        <v>1415</v>
      </c>
      <c r="AW9" s="5">
        <v>633</v>
      </c>
      <c r="AX9" s="5"/>
      <c r="BA9" s="5">
        <v>5</v>
      </c>
      <c r="BB9" s="5" t="s">
        <v>120</v>
      </c>
      <c r="BC9" s="5">
        <v>1415</v>
      </c>
      <c r="BD9" s="5">
        <v>633</v>
      </c>
      <c r="BE9" s="5"/>
      <c r="BH9" s="5">
        <v>0.55000000000000004</v>
      </c>
      <c r="BI9" s="5"/>
      <c r="BJ9" s="5"/>
      <c r="BK9" s="5"/>
      <c r="BL9" s="5"/>
      <c r="BO9" s="5">
        <v>0.55000000000000004</v>
      </c>
      <c r="BP9" s="5"/>
      <c r="BQ9" s="5"/>
      <c r="BR9" s="5"/>
      <c r="BS9" s="5"/>
      <c r="BV9" s="5">
        <v>4</v>
      </c>
      <c r="BW9" s="5" t="s">
        <v>118</v>
      </c>
      <c r="BX9" s="5">
        <v>1397</v>
      </c>
      <c r="BY9" s="5">
        <v>78</v>
      </c>
      <c r="BZ9" s="5"/>
      <c r="CC9">
        <v>4</v>
      </c>
      <c r="CD9" t="s">
        <v>118</v>
      </c>
      <c r="CE9">
        <v>1441</v>
      </c>
      <c r="CF9">
        <v>30</v>
      </c>
      <c r="CJ9">
        <v>4</v>
      </c>
      <c r="CK9" t="s">
        <v>124</v>
      </c>
      <c r="CL9">
        <v>1571</v>
      </c>
      <c r="CM9">
        <v>44</v>
      </c>
      <c r="CQ9" s="5">
        <v>4</v>
      </c>
      <c r="CR9" s="5" t="s">
        <v>124</v>
      </c>
      <c r="CS9" s="5">
        <v>1571</v>
      </c>
      <c r="CT9" s="5">
        <v>44</v>
      </c>
      <c r="CU9" s="5"/>
      <c r="CX9">
        <v>0.55000000000000004</v>
      </c>
      <c r="DD9" t="s">
        <v>313</v>
      </c>
      <c r="DE9" t="s">
        <v>352</v>
      </c>
      <c r="DL9">
        <v>0.55000000000000004</v>
      </c>
      <c r="EC9">
        <v>1045</v>
      </c>
    </row>
    <row r="10" spans="2:134" x14ac:dyDescent="0.25">
      <c r="B10" s="5">
        <v>0.55000000000000004</v>
      </c>
      <c r="C10" s="5"/>
      <c r="D10" s="5"/>
      <c r="E10" s="5"/>
      <c r="F10" s="5"/>
      <c r="H10" s="6"/>
      <c r="I10" s="6"/>
      <c r="J10" s="6"/>
      <c r="K10" s="35">
        <f>SUM(K4:K9)</f>
        <v>3556</v>
      </c>
      <c r="L10" s="5"/>
      <c r="P10" s="5"/>
      <c r="Q10" s="16"/>
      <c r="R10" s="11"/>
      <c r="S10" s="14">
        <f>SUM(S4:S9)</f>
        <v>3369</v>
      </c>
      <c r="T10" s="5"/>
      <c r="X10" s="5"/>
      <c r="Y10" s="16"/>
      <c r="Z10" s="11"/>
      <c r="AA10" s="14">
        <f>SUM(AA4:AA9)</f>
        <v>3315</v>
      </c>
      <c r="AB10" s="5"/>
      <c r="AF10" s="5"/>
      <c r="AG10" s="16"/>
      <c r="AH10" s="11"/>
      <c r="AI10" s="14">
        <f>SUM(AI4:AI9)</f>
        <v>3181</v>
      </c>
      <c r="AJ10" s="5"/>
      <c r="AM10" s="5"/>
      <c r="AN10" s="5"/>
      <c r="AO10" s="5"/>
      <c r="AP10" s="6">
        <f>SUM(AP4:AP9)</f>
        <v>3137</v>
      </c>
      <c r="AQ10" s="5"/>
      <c r="AT10" s="5"/>
      <c r="AU10" s="5"/>
      <c r="AV10" s="5"/>
      <c r="AW10" s="6">
        <f>SUM(AW4:AW9)</f>
        <v>3063</v>
      </c>
      <c r="AX10" s="5"/>
      <c r="BA10" s="5"/>
      <c r="BB10" s="5"/>
      <c r="BC10" s="5"/>
      <c r="BD10" s="6">
        <f>SUM(BD4:BD9)</f>
        <v>2950</v>
      </c>
      <c r="BE10" s="5"/>
      <c r="BH10" s="5">
        <v>5</v>
      </c>
      <c r="BI10" s="5" t="s">
        <v>119</v>
      </c>
      <c r="BJ10" s="5">
        <v>1573</v>
      </c>
      <c r="BK10" s="5">
        <v>305</v>
      </c>
      <c r="BL10" s="5"/>
      <c r="BO10" s="5">
        <v>5</v>
      </c>
      <c r="BP10" s="5" t="s">
        <v>119</v>
      </c>
      <c r="BQ10" s="5">
        <v>1573</v>
      </c>
      <c r="BR10" s="5">
        <v>248</v>
      </c>
      <c r="BS10" s="5"/>
      <c r="BV10" s="5">
        <v>5</v>
      </c>
      <c r="BW10" s="5" t="s">
        <v>118</v>
      </c>
      <c r="BX10" s="5">
        <v>1441</v>
      </c>
      <c r="BY10" s="5">
        <v>30</v>
      </c>
      <c r="BZ10" s="5"/>
      <c r="CC10">
        <v>5</v>
      </c>
      <c r="CD10" t="s">
        <v>118</v>
      </c>
      <c r="CE10">
        <v>1397</v>
      </c>
      <c r="CF10">
        <v>76</v>
      </c>
      <c r="CJ10">
        <v>5</v>
      </c>
      <c r="CK10" t="s">
        <v>118</v>
      </c>
      <c r="CL10">
        <v>1441</v>
      </c>
      <c r="CM10">
        <v>30</v>
      </c>
      <c r="CQ10" s="5">
        <v>5</v>
      </c>
      <c r="CR10" s="5" t="s">
        <v>118</v>
      </c>
      <c r="CS10" s="5">
        <v>1441</v>
      </c>
      <c r="CT10" s="5">
        <v>30</v>
      </c>
      <c r="CU10" s="5"/>
      <c r="CX10">
        <v>4</v>
      </c>
      <c r="CY10" t="s">
        <v>119</v>
      </c>
      <c r="CZ10">
        <v>1441</v>
      </c>
      <c r="DA10">
        <v>30</v>
      </c>
      <c r="DD10">
        <v>4</v>
      </c>
      <c r="DE10" t="s">
        <v>252</v>
      </c>
      <c r="DF10">
        <v>1577</v>
      </c>
      <c r="DG10">
        <v>27</v>
      </c>
      <c r="DL10">
        <v>4</v>
      </c>
      <c r="DM10" t="s">
        <v>118</v>
      </c>
      <c r="DN10">
        <v>1414</v>
      </c>
      <c r="DO10">
        <v>30</v>
      </c>
      <c r="DS10">
        <v>3</v>
      </c>
      <c r="DT10" t="s">
        <v>252</v>
      </c>
      <c r="DU10">
        <v>1577</v>
      </c>
      <c r="DV10">
        <v>14</v>
      </c>
    </row>
    <row r="11" spans="2:134" x14ac:dyDescent="0.25">
      <c r="B11" s="5">
        <v>5</v>
      </c>
      <c r="C11" s="5" t="s">
        <v>119</v>
      </c>
      <c r="D11" s="5">
        <v>1390</v>
      </c>
      <c r="E11" s="5">
        <v>2113</v>
      </c>
      <c r="F11" s="5"/>
      <c r="H11" s="6">
        <v>0.55000000000000004</v>
      </c>
      <c r="I11" s="6"/>
      <c r="J11" s="6"/>
      <c r="K11" s="35"/>
      <c r="L11" s="5"/>
      <c r="P11" s="5"/>
      <c r="Q11" s="13">
        <v>0.55000000000000004</v>
      </c>
      <c r="R11" s="11"/>
      <c r="S11" s="15"/>
      <c r="T11" s="5"/>
      <c r="X11" s="5"/>
      <c r="Y11" s="13">
        <v>0.55000000000000004</v>
      </c>
      <c r="Z11" s="11"/>
      <c r="AA11" s="15"/>
      <c r="AB11" s="5"/>
      <c r="AF11" s="5"/>
      <c r="AG11" s="13">
        <v>0.55000000000000004</v>
      </c>
      <c r="AH11" s="11"/>
      <c r="AI11" s="15"/>
      <c r="AJ11" s="5"/>
      <c r="AM11" s="5">
        <v>0.55000000000000004</v>
      </c>
      <c r="AN11" s="5"/>
      <c r="AO11" s="5"/>
      <c r="AP11" s="5"/>
      <c r="AQ11" s="5"/>
      <c r="AT11" s="5">
        <v>0.55000000000000004</v>
      </c>
      <c r="AU11" s="5"/>
      <c r="AV11" s="5"/>
      <c r="AW11" s="5"/>
      <c r="AX11" s="5"/>
      <c r="BA11" s="5">
        <v>0.55000000000000004</v>
      </c>
      <c r="BB11" s="5"/>
      <c r="BC11" s="5"/>
      <c r="BD11" s="5"/>
      <c r="BE11" s="5"/>
      <c r="BH11" s="5">
        <v>6</v>
      </c>
      <c r="BI11" s="5" t="s">
        <v>119</v>
      </c>
      <c r="BJ11" s="5">
        <v>1570</v>
      </c>
      <c r="BK11" s="5">
        <v>129</v>
      </c>
      <c r="BL11" s="5"/>
      <c r="BO11" s="5">
        <v>6</v>
      </c>
      <c r="BP11" s="5" t="s">
        <v>119</v>
      </c>
      <c r="BQ11" s="5">
        <v>1570</v>
      </c>
      <c r="BR11" s="5">
        <v>129</v>
      </c>
      <c r="BS11" s="5"/>
      <c r="BV11" s="5">
        <v>6</v>
      </c>
      <c r="BW11" s="5" t="s">
        <v>124</v>
      </c>
      <c r="BX11" s="5">
        <v>1571</v>
      </c>
      <c r="BY11" s="5">
        <v>388</v>
      </c>
      <c r="BZ11" s="5"/>
      <c r="CC11">
        <v>6</v>
      </c>
      <c r="CD11" t="s">
        <v>124</v>
      </c>
      <c r="CE11">
        <v>1571</v>
      </c>
      <c r="CF11">
        <v>90</v>
      </c>
      <c r="CM11">
        <v>74</v>
      </c>
      <c r="CQ11" s="5"/>
      <c r="CR11" s="5"/>
      <c r="CS11" s="5"/>
      <c r="CT11" s="5">
        <f>SUM(CT9:CT10)</f>
        <v>74</v>
      </c>
      <c r="CU11" s="5"/>
      <c r="DA11">
        <v>30</v>
      </c>
      <c r="DD11">
        <v>5</v>
      </c>
      <c r="DE11" t="s">
        <v>122</v>
      </c>
      <c r="DF11">
        <v>1791</v>
      </c>
      <c r="DG11">
        <v>8</v>
      </c>
      <c r="DO11">
        <f>SUM(DO10)</f>
        <v>30</v>
      </c>
      <c r="DV11">
        <f>SUM(DV4:DV10)</f>
        <v>2714</v>
      </c>
      <c r="DZ11">
        <v>0.6</v>
      </c>
    </row>
    <row r="12" spans="2:134" x14ac:dyDescent="0.25">
      <c r="B12" s="5">
        <v>6</v>
      </c>
      <c r="C12" s="5" t="s">
        <v>119</v>
      </c>
      <c r="D12" s="5">
        <v>1380</v>
      </c>
      <c r="E12" s="5">
        <v>933</v>
      </c>
      <c r="F12" s="5"/>
      <c r="H12" s="5">
        <v>6</v>
      </c>
      <c r="I12" s="5" t="s">
        <v>118</v>
      </c>
      <c r="J12" s="5">
        <v>1441</v>
      </c>
      <c r="K12" s="21">
        <v>609</v>
      </c>
      <c r="L12" s="5"/>
      <c r="P12" s="5">
        <v>6</v>
      </c>
      <c r="Q12" s="16" t="s">
        <v>119</v>
      </c>
      <c r="R12" s="11">
        <v>1503</v>
      </c>
      <c r="S12" s="15">
        <v>56</v>
      </c>
      <c r="T12" s="5"/>
      <c r="X12" s="5">
        <v>6</v>
      </c>
      <c r="Y12" s="16" t="s">
        <v>119</v>
      </c>
      <c r="Z12" s="11">
        <v>1503</v>
      </c>
      <c r="AA12" s="15">
        <v>56</v>
      </c>
      <c r="AB12" s="5"/>
      <c r="AF12" s="5">
        <v>6</v>
      </c>
      <c r="AG12" s="16" t="s">
        <v>119</v>
      </c>
      <c r="AH12" s="11">
        <v>1503</v>
      </c>
      <c r="AI12" s="15">
        <v>37</v>
      </c>
      <c r="AJ12" s="5"/>
      <c r="AM12" s="5">
        <v>6</v>
      </c>
      <c r="AN12" s="5" t="s">
        <v>119</v>
      </c>
      <c r="AO12" s="5">
        <v>1539</v>
      </c>
      <c r="AP12" s="5">
        <v>488</v>
      </c>
      <c r="AQ12" s="5"/>
      <c r="AT12" s="5">
        <v>6</v>
      </c>
      <c r="AU12" s="5" t="s">
        <v>119</v>
      </c>
      <c r="AV12" s="5">
        <v>1573</v>
      </c>
      <c r="AW12" s="5">
        <v>1370</v>
      </c>
      <c r="AX12" s="5"/>
      <c r="BA12" s="5">
        <v>6</v>
      </c>
      <c r="BB12" s="5" t="s">
        <v>119</v>
      </c>
      <c r="BC12" s="5">
        <v>1573</v>
      </c>
      <c r="BD12" s="5">
        <v>1340</v>
      </c>
      <c r="BE12" s="5"/>
      <c r="BH12" s="5">
        <v>7</v>
      </c>
      <c r="BI12" s="5" t="s">
        <v>118</v>
      </c>
      <c r="BJ12" s="5">
        <v>1397</v>
      </c>
      <c r="BK12" s="5">
        <v>78</v>
      </c>
      <c r="BL12" s="5"/>
      <c r="BO12" s="5">
        <v>7</v>
      </c>
      <c r="BP12" s="5" t="s">
        <v>118</v>
      </c>
      <c r="BQ12" s="5">
        <v>1397</v>
      </c>
      <c r="BR12" s="5">
        <v>78</v>
      </c>
      <c r="BS12" s="5"/>
      <c r="BV12" s="5">
        <v>7</v>
      </c>
      <c r="BW12" s="5" t="s">
        <v>121</v>
      </c>
      <c r="BX12" s="5">
        <v>1598</v>
      </c>
      <c r="BY12" s="5">
        <v>5</v>
      </c>
      <c r="BZ12" s="5"/>
      <c r="CC12">
        <v>7</v>
      </c>
      <c r="CD12" t="s">
        <v>119</v>
      </c>
      <c r="CE12">
        <v>1573</v>
      </c>
      <c r="CF12">
        <v>67</v>
      </c>
      <c r="CJ12" t="s">
        <v>126</v>
      </c>
      <c r="CQ12" s="5" t="s">
        <v>313</v>
      </c>
      <c r="CR12" s="5"/>
      <c r="CS12" s="5"/>
      <c r="CT12" s="5"/>
      <c r="CU12" s="5"/>
      <c r="DE12" t="s">
        <v>123</v>
      </c>
      <c r="DG12">
        <v>741</v>
      </c>
      <c r="DZ12">
        <v>6</v>
      </c>
      <c r="EA12" t="s">
        <v>119</v>
      </c>
      <c r="EB12">
        <v>1455</v>
      </c>
      <c r="EC12">
        <v>148</v>
      </c>
    </row>
    <row r="13" spans="2:134" x14ac:dyDescent="0.25">
      <c r="B13" s="5">
        <v>7</v>
      </c>
      <c r="C13" s="5" t="s">
        <v>119</v>
      </c>
      <c r="D13" s="5">
        <v>1382</v>
      </c>
      <c r="E13" s="5">
        <v>126</v>
      </c>
      <c r="F13" s="5"/>
      <c r="H13" s="5">
        <v>7</v>
      </c>
      <c r="I13" s="5" t="s">
        <v>118</v>
      </c>
      <c r="J13" s="5">
        <v>1397</v>
      </c>
      <c r="K13" s="21">
        <v>78</v>
      </c>
      <c r="L13" s="5"/>
      <c r="P13" s="5">
        <v>7</v>
      </c>
      <c r="Q13" s="16" t="s">
        <v>119</v>
      </c>
      <c r="R13" s="11">
        <v>1521</v>
      </c>
      <c r="S13" s="15">
        <v>995</v>
      </c>
      <c r="T13" s="5"/>
      <c r="X13" s="5">
        <v>7</v>
      </c>
      <c r="Y13" s="16" t="s">
        <v>119</v>
      </c>
      <c r="Z13" s="11">
        <v>1521</v>
      </c>
      <c r="AA13" s="15">
        <v>1016</v>
      </c>
      <c r="AB13" s="5"/>
      <c r="AF13" s="5">
        <v>7</v>
      </c>
      <c r="AG13" s="16" t="s">
        <v>119</v>
      </c>
      <c r="AH13" s="11">
        <v>1521</v>
      </c>
      <c r="AI13" s="15">
        <v>39</v>
      </c>
      <c r="AJ13" s="5"/>
      <c r="AM13" s="5">
        <v>7</v>
      </c>
      <c r="AN13" s="5" t="s">
        <v>119</v>
      </c>
      <c r="AO13" s="5">
        <v>1512</v>
      </c>
      <c r="AP13" s="5">
        <v>39</v>
      </c>
      <c r="AQ13" s="5"/>
      <c r="AT13" s="5">
        <v>7</v>
      </c>
      <c r="AU13" s="5" t="s">
        <v>119</v>
      </c>
      <c r="AV13" s="5">
        <v>1570</v>
      </c>
      <c r="AW13" s="5">
        <v>232</v>
      </c>
      <c r="AX13" s="5"/>
      <c r="BA13" s="5">
        <v>7</v>
      </c>
      <c r="BB13" s="5" t="s">
        <v>119</v>
      </c>
      <c r="BC13" s="5">
        <v>1570</v>
      </c>
      <c r="BD13" s="5">
        <v>220</v>
      </c>
      <c r="BE13" s="5"/>
      <c r="BH13" s="5">
        <v>8</v>
      </c>
      <c r="BI13" s="5" t="s">
        <v>118</v>
      </c>
      <c r="BJ13" s="5">
        <v>1441</v>
      </c>
      <c r="BK13" s="5">
        <v>30</v>
      </c>
      <c r="BL13" s="5"/>
      <c r="BO13" s="5">
        <v>8</v>
      </c>
      <c r="BP13" s="5" t="s">
        <v>118</v>
      </c>
      <c r="BQ13" s="5">
        <v>1441</v>
      </c>
      <c r="BR13" s="5">
        <v>30</v>
      </c>
      <c r="BS13" s="5"/>
      <c r="BV13" s="5"/>
      <c r="BW13" s="5"/>
      <c r="BX13" s="5"/>
      <c r="BY13" s="5">
        <f>SUM(BY9:BY12)</f>
        <v>501</v>
      </c>
      <c r="BZ13" s="5"/>
      <c r="CF13">
        <v>263</v>
      </c>
      <c r="CJ13">
        <v>6</v>
      </c>
      <c r="CK13" t="s">
        <v>118</v>
      </c>
      <c r="CL13">
        <v>1481</v>
      </c>
      <c r="CM13">
        <v>4</v>
      </c>
      <c r="CQ13" s="5">
        <v>6</v>
      </c>
      <c r="CR13" s="5" t="s">
        <v>338</v>
      </c>
      <c r="CS13" s="5">
        <v>1760</v>
      </c>
      <c r="CT13" s="5">
        <v>101</v>
      </c>
      <c r="CU13" s="5"/>
      <c r="CX13" t="s">
        <v>313</v>
      </c>
      <c r="DE13" t="s">
        <v>123</v>
      </c>
      <c r="DG13">
        <v>389</v>
      </c>
      <c r="DL13" t="s">
        <v>390</v>
      </c>
      <c r="DS13">
        <v>0.7</v>
      </c>
      <c r="EC13">
        <v>148</v>
      </c>
    </row>
    <row r="14" spans="2:134" x14ac:dyDescent="0.25">
      <c r="B14" s="5">
        <v>8</v>
      </c>
      <c r="C14" s="5" t="s">
        <v>119</v>
      </c>
      <c r="D14" s="5">
        <v>1284</v>
      </c>
      <c r="E14" s="5">
        <v>65</v>
      </c>
      <c r="F14" s="5"/>
      <c r="H14" s="5">
        <v>8</v>
      </c>
      <c r="I14" s="5" t="s">
        <v>118</v>
      </c>
      <c r="J14" s="5">
        <v>1341</v>
      </c>
      <c r="K14" s="21">
        <v>27</v>
      </c>
      <c r="L14" s="5"/>
      <c r="P14" s="5">
        <v>8</v>
      </c>
      <c r="Q14" s="16" t="s">
        <v>203</v>
      </c>
      <c r="R14" s="11">
        <v>1455</v>
      </c>
      <c r="S14" s="15">
        <v>161</v>
      </c>
      <c r="T14" s="5"/>
      <c r="X14" s="5">
        <v>8</v>
      </c>
      <c r="Y14" s="16" t="s">
        <v>203</v>
      </c>
      <c r="Z14" s="11">
        <v>1445</v>
      </c>
      <c r="AA14" s="15">
        <v>161</v>
      </c>
      <c r="AB14" s="5"/>
      <c r="AF14" s="5">
        <v>8</v>
      </c>
      <c r="AG14" s="16" t="s">
        <v>203</v>
      </c>
      <c r="AH14" s="11">
        <v>1445</v>
      </c>
      <c r="AI14" s="15">
        <v>161</v>
      </c>
      <c r="AJ14" s="5"/>
      <c r="AM14" s="5">
        <v>8</v>
      </c>
      <c r="AN14" s="5" t="s">
        <v>119</v>
      </c>
      <c r="AO14" s="5">
        <v>1503</v>
      </c>
      <c r="AP14" s="5">
        <v>37</v>
      </c>
      <c r="AQ14" s="5"/>
      <c r="AT14" s="5">
        <v>8</v>
      </c>
      <c r="AU14" s="5" t="s">
        <v>118</v>
      </c>
      <c r="AV14" s="5">
        <v>1528</v>
      </c>
      <c r="AW14" s="5">
        <v>296</v>
      </c>
      <c r="AX14" s="5"/>
      <c r="BA14" s="5">
        <v>8</v>
      </c>
      <c r="BB14" s="5" t="s">
        <v>118</v>
      </c>
      <c r="BC14" s="5">
        <v>1528</v>
      </c>
      <c r="BD14" s="5">
        <v>115</v>
      </c>
      <c r="BE14" s="5"/>
      <c r="BH14" s="5">
        <v>9</v>
      </c>
      <c r="BI14" s="5" t="s">
        <v>123</v>
      </c>
      <c r="BJ14" s="5">
        <v>1554</v>
      </c>
      <c r="BK14" s="5">
        <v>76</v>
      </c>
      <c r="BL14" s="5"/>
      <c r="BO14" s="5">
        <v>9</v>
      </c>
      <c r="BP14" s="5" t="s">
        <v>123</v>
      </c>
      <c r="BQ14" s="5">
        <v>1554</v>
      </c>
      <c r="BR14" s="5">
        <v>75</v>
      </c>
      <c r="BS14" s="5"/>
      <c r="BV14" s="5" t="s">
        <v>313</v>
      </c>
      <c r="BW14" s="5"/>
      <c r="BX14" s="5"/>
      <c r="BY14" s="5"/>
      <c r="BZ14" s="5"/>
      <c r="CC14" t="s">
        <v>126</v>
      </c>
      <c r="CJ14">
        <v>7</v>
      </c>
      <c r="CK14" t="s">
        <v>253</v>
      </c>
      <c r="CL14">
        <v>1508</v>
      </c>
      <c r="CM14">
        <v>9</v>
      </c>
      <c r="CQ14" s="5">
        <v>7</v>
      </c>
      <c r="CR14" s="5" t="s">
        <v>122</v>
      </c>
      <c r="CS14" s="5">
        <v>1791</v>
      </c>
      <c r="CT14" s="5">
        <v>8</v>
      </c>
      <c r="CU14" s="5"/>
      <c r="CX14">
        <v>5</v>
      </c>
      <c r="CY14" t="s">
        <v>120</v>
      </c>
      <c r="CZ14">
        <v>1410</v>
      </c>
      <c r="DA14">
        <v>52</v>
      </c>
      <c r="DE14" t="s">
        <v>121</v>
      </c>
      <c r="DG14">
        <v>105</v>
      </c>
      <c r="DL14">
        <v>5</v>
      </c>
      <c r="DM14" t="s">
        <v>121</v>
      </c>
      <c r="DO14">
        <v>758</v>
      </c>
      <c r="DS14">
        <v>2</v>
      </c>
      <c r="DT14" t="s">
        <v>119</v>
      </c>
      <c r="DU14">
        <v>1597</v>
      </c>
      <c r="DV14">
        <v>101</v>
      </c>
    </row>
    <row r="15" spans="2:134" x14ac:dyDescent="0.25">
      <c r="B15" s="5">
        <v>9</v>
      </c>
      <c r="C15" s="5" t="s">
        <v>119</v>
      </c>
      <c r="D15" s="5">
        <v>1316</v>
      </c>
      <c r="E15" s="5">
        <v>48</v>
      </c>
      <c r="F15" s="5"/>
      <c r="H15" s="5">
        <v>9</v>
      </c>
      <c r="I15" s="5" t="s">
        <v>119</v>
      </c>
      <c r="J15" s="5">
        <v>1464</v>
      </c>
      <c r="K15" s="21">
        <v>1250</v>
      </c>
      <c r="L15" s="5"/>
      <c r="P15" s="5">
        <v>9</v>
      </c>
      <c r="Q15" s="16" t="s">
        <v>120</v>
      </c>
      <c r="R15" s="11">
        <v>1502</v>
      </c>
      <c r="S15" s="15">
        <v>1451</v>
      </c>
      <c r="T15" s="5"/>
      <c r="X15" s="5">
        <v>9</v>
      </c>
      <c r="Y15" s="16" t="s">
        <v>120</v>
      </c>
      <c r="Z15" s="11">
        <v>1502</v>
      </c>
      <c r="AA15" s="15">
        <v>1173</v>
      </c>
      <c r="AB15" s="5"/>
      <c r="AF15" s="5">
        <v>9</v>
      </c>
      <c r="AG15" s="16" t="s">
        <v>120</v>
      </c>
      <c r="AH15" s="11">
        <v>1502</v>
      </c>
      <c r="AI15" s="15">
        <v>741</v>
      </c>
      <c r="AJ15" s="5"/>
      <c r="AM15" s="5">
        <v>9</v>
      </c>
      <c r="AN15" s="5" t="s">
        <v>118</v>
      </c>
      <c r="AO15" s="5">
        <v>1528</v>
      </c>
      <c r="AP15" s="5">
        <v>686</v>
      </c>
      <c r="AQ15" s="5"/>
      <c r="AT15" s="5">
        <v>9</v>
      </c>
      <c r="AU15" s="5" t="s">
        <v>118</v>
      </c>
      <c r="AV15" s="5">
        <v>1397</v>
      </c>
      <c r="AW15" s="5">
        <v>78</v>
      </c>
      <c r="AX15" s="5"/>
      <c r="BA15" s="5">
        <v>9</v>
      </c>
      <c r="BB15" s="5" t="s">
        <v>118</v>
      </c>
      <c r="BC15" s="5">
        <v>1397</v>
      </c>
      <c r="BD15" s="5">
        <v>78</v>
      </c>
      <c r="BE15" s="5"/>
      <c r="BH15" s="5">
        <v>10</v>
      </c>
      <c r="BI15" s="5" t="s">
        <v>122</v>
      </c>
      <c r="BJ15" s="5">
        <v>1523</v>
      </c>
      <c r="BK15" s="5">
        <v>71</v>
      </c>
      <c r="BL15" s="5"/>
      <c r="BO15" s="5">
        <v>10</v>
      </c>
      <c r="BP15" s="5" t="s">
        <v>124</v>
      </c>
      <c r="BQ15" s="5">
        <v>1571</v>
      </c>
      <c r="BR15" s="5">
        <v>699</v>
      </c>
      <c r="BS15" s="5"/>
      <c r="BV15" s="5">
        <v>8</v>
      </c>
      <c r="BW15" s="5" t="s">
        <v>120</v>
      </c>
      <c r="BX15" s="5">
        <v>1410</v>
      </c>
      <c r="BY15" s="5">
        <v>52</v>
      </c>
      <c r="BZ15" s="5"/>
      <c r="CC15">
        <v>8</v>
      </c>
      <c r="CD15" t="s">
        <v>252</v>
      </c>
      <c r="CE15">
        <v>1577</v>
      </c>
      <c r="CF15">
        <v>149</v>
      </c>
      <c r="CJ15">
        <v>8</v>
      </c>
      <c r="CK15" t="s">
        <v>120</v>
      </c>
      <c r="CL15">
        <v>1410</v>
      </c>
      <c r="CM15">
        <v>52</v>
      </c>
      <c r="CQ15" s="5">
        <v>8</v>
      </c>
      <c r="CR15" s="5" t="s">
        <v>120</v>
      </c>
      <c r="CS15" s="5">
        <v>1410</v>
      </c>
      <c r="CT15" s="5">
        <v>52</v>
      </c>
      <c r="CU15" s="5"/>
      <c r="CX15">
        <v>6</v>
      </c>
      <c r="CY15" t="s">
        <v>253</v>
      </c>
      <c r="CZ15">
        <v>1811</v>
      </c>
      <c r="DA15">
        <v>109</v>
      </c>
      <c r="DE15" t="s">
        <v>121</v>
      </c>
      <c r="DG15">
        <v>2172</v>
      </c>
      <c r="DL15">
        <v>6</v>
      </c>
      <c r="DM15" t="s">
        <v>123</v>
      </c>
      <c r="DO15">
        <v>741</v>
      </c>
      <c r="DS15">
        <v>3</v>
      </c>
      <c r="DT15" t="s">
        <v>228</v>
      </c>
      <c r="DU15">
        <v>1594</v>
      </c>
      <c r="DV15">
        <v>64</v>
      </c>
      <c r="DZ15" t="s">
        <v>313</v>
      </c>
    </row>
    <row r="16" spans="2:134" x14ac:dyDescent="0.25">
      <c r="B16" s="5">
        <v>10</v>
      </c>
      <c r="C16" s="5" t="s">
        <v>119</v>
      </c>
      <c r="D16" s="5">
        <v>1332</v>
      </c>
      <c r="E16" s="5">
        <v>37</v>
      </c>
      <c r="F16" s="5"/>
      <c r="H16" s="5">
        <v>10</v>
      </c>
      <c r="I16" s="5" t="s">
        <v>119</v>
      </c>
      <c r="J16" s="5">
        <v>1434</v>
      </c>
      <c r="K16" s="21">
        <v>181</v>
      </c>
      <c r="L16" s="5"/>
      <c r="P16" s="5">
        <v>10</v>
      </c>
      <c r="Q16" s="16" t="s">
        <v>120</v>
      </c>
      <c r="R16" s="11">
        <v>1423</v>
      </c>
      <c r="S16" s="15">
        <v>144</v>
      </c>
      <c r="T16" s="5"/>
      <c r="X16" s="5">
        <v>10</v>
      </c>
      <c r="Y16" s="16" t="s">
        <v>120</v>
      </c>
      <c r="Z16" s="11">
        <v>1423</v>
      </c>
      <c r="AA16" s="15">
        <v>109</v>
      </c>
      <c r="AB16" s="5"/>
      <c r="AF16" s="5">
        <v>10</v>
      </c>
      <c r="AG16" s="16" t="s">
        <v>120</v>
      </c>
      <c r="AH16" s="11">
        <v>1423</v>
      </c>
      <c r="AI16" s="15">
        <v>109</v>
      </c>
      <c r="AJ16" s="5"/>
      <c r="AM16" s="5">
        <v>10</v>
      </c>
      <c r="AN16" s="5" t="s">
        <v>118</v>
      </c>
      <c r="AO16" s="5">
        <v>1397</v>
      </c>
      <c r="AP16" s="5">
        <v>78</v>
      </c>
      <c r="AQ16" s="5"/>
      <c r="AT16" s="5">
        <v>10</v>
      </c>
      <c r="AU16" s="5" t="s">
        <v>118</v>
      </c>
      <c r="AV16" s="5">
        <v>1441</v>
      </c>
      <c r="AW16" s="5">
        <v>30</v>
      </c>
      <c r="AX16" s="5"/>
      <c r="BA16" s="5">
        <v>10</v>
      </c>
      <c r="BB16" s="5" t="s">
        <v>118</v>
      </c>
      <c r="BC16" s="5">
        <v>1441</v>
      </c>
      <c r="BD16" s="5">
        <v>30</v>
      </c>
      <c r="BE16" s="5"/>
      <c r="BH16" s="5">
        <v>11</v>
      </c>
      <c r="BI16" s="5" t="s">
        <v>124</v>
      </c>
      <c r="BJ16" s="5">
        <v>1571</v>
      </c>
      <c r="BK16" s="5">
        <v>999</v>
      </c>
      <c r="BL16" s="5"/>
      <c r="BO16" s="5">
        <v>11</v>
      </c>
      <c r="BP16" s="5" t="s">
        <v>120</v>
      </c>
      <c r="BQ16" s="5">
        <v>1423</v>
      </c>
      <c r="BR16" s="5">
        <v>90</v>
      </c>
      <c r="BS16" s="5"/>
      <c r="BV16" s="5">
        <v>9</v>
      </c>
      <c r="BW16" s="5" t="s">
        <v>120</v>
      </c>
      <c r="BX16" s="5">
        <v>1586</v>
      </c>
      <c r="BY16" s="5">
        <v>33</v>
      </c>
      <c r="BZ16" s="5"/>
      <c r="CC16">
        <v>9</v>
      </c>
      <c r="CD16" t="s">
        <v>118</v>
      </c>
      <c r="CE16">
        <v>1481</v>
      </c>
      <c r="CF16">
        <v>8</v>
      </c>
      <c r="CM16">
        <v>65</v>
      </c>
      <c r="CQ16" s="5">
        <v>9</v>
      </c>
      <c r="CR16" s="5" t="s">
        <v>253</v>
      </c>
      <c r="CS16" s="5">
        <v>1508</v>
      </c>
      <c r="CT16" s="5">
        <v>9</v>
      </c>
      <c r="CU16" s="5"/>
      <c r="CY16" t="s">
        <v>121</v>
      </c>
      <c r="CZ16" t="s">
        <v>356</v>
      </c>
      <c r="DA16">
        <v>10308</v>
      </c>
      <c r="DE16" t="s">
        <v>121</v>
      </c>
      <c r="DG16">
        <v>1314</v>
      </c>
      <c r="DL16">
        <v>7</v>
      </c>
      <c r="DM16" t="s">
        <v>123</v>
      </c>
      <c r="DO16">
        <v>389</v>
      </c>
      <c r="DS16">
        <v>4</v>
      </c>
      <c r="DT16" t="s">
        <v>125</v>
      </c>
      <c r="DU16">
        <v>1604</v>
      </c>
      <c r="DV16">
        <v>542</v>
      </c>
      <c r="DZ16">
        <v>7</v>
      </c>
      <c r="EA16" t="s">
        <v>122</v>
      </c>
      <c r="EB16">
        <v>1878</v>
      </c>
      <c r="EC16">
        <v>732</v>
      </c>
    </row>
    <row r="17" spans="2:133" x14ac:dyDescent="0.25">
      <c r="B17" s="5">
        <v>11</v>
      </c>
      <c r="C17" s="5" t="s">
        <v>119</v>
      </c>
      <c r="D17" s="5">
        <v>1370</v>
      </c>
      <c r="E17" s="5">
        <v>56</v>
      </c>
      <c r="F17" s="5"/>
      <c r="H17" s="5">
        <v>11</v>
      </c>
      <c r="I17" s="5" t="s">
        <v>119</v>
      </c>
      <c r="J17" s="5">
        <v>1390</v>
      </c>
      <c r="K17" s="21">
        <v>38</v>
      </c>
      <c r="L17" s="5"/>
      <c r="P17" s="5">
        <v>11</v>
      </c>
      <c r="Q17" s="16" t="s">
        <v>124</v>
      </c>
      <c r="R17" s="11">
        <v>1443</v>
      </c>
      <c r="S17" s="15">
        <v>341</v>
      </c>
      <c r="T17" s="5"/>
      <c r="X17" s="5">
        <v>11</v>
      </c>
      <c r="Y17" s="16" t="s">
        <v>124</v>
      </c>
      <c r="Z17" s="11">
        <v>1443</v>
      </c>
      <c r="AA17" s="15">
        <v>96</v>
      </c>
      <c r="AB17" s="5"/>
      <c r="AF17" s="5">
        <v>11</v>
      </c>
      <c r="AG17" s="16" t="s">
        <v>124</v>
      </c>
      <c r="AH17" s="11">
        <v>1443</v>
      </c>
      <c r="AI17" s="15">
        <v>52</v>
      </c>
      <c r="AJ17" s="5"/>
      <c r="AM17" s="5">
        <v>11</v>
      </c>
      <c r="AN17" s="5" t="s">
        <v>118</v>
      </c>
      <c r="AO17" s="5">
        <v>1441</v>
      </c>
      <c r="AP17" s="5">
        <v>30</v>
      </c>
      <c r="AQ17" s="5"/>
      <c r="AT17" s="5">
        <v>11</v>
      </c>
      <c r="AU17" s="5" t="s">
        <v>123</v>
      </c>
      <c r="AV17" s="5">
        <v>1554</v>
      </c>
      <c r="AW17" s="5">
        <v>1035</v>
      </c>
      <c r="AX17" s="5"/>
      <c r="BA17" s="5">
        <v>11</v>
      </c>
      <c r="BB17" s="5" t="s">
        <v>123</v>
      </c>
      <c r="BC17" s="5">
        <v>1554</v>
      </c>
      <c r="BD17" s="5">
        <v>677</v>
      </c>
      <c r="BE17" s="5"/>
      <c r="BH17" s="5">
        <v>12</v>
      </c>
      <c r="BI17" s="5" t="s">
        <v>120</v>
      </c>
      <c r="BJ17" s="5">
        <v>1423</v>
      </c>
      <c r="BK17" s="5">
        <v>97</v>
      </c>
      <c r="BL17" s="5"/>
      <c r="BO17" s="5"/>
      <c r="BP17" s="5"/>
      <c r="BQ17" s="5"/>
      <c r="BR17" s="6">
        <f>SUM(BR10:BR16)</f>
        <v>1349</v>
      </c>
      <c r="BS17" s="5"/>
      <c r="BV17" s="5">
        <v>10</v>
      </c>
      <c r="BW17" s="5" t="s">
        <v>252</v>
      </c>
      <c r="BX17" s="5">
        <v>1577</v>
      </c>
      <c r="BY17" s="5">
        <v>194</v>
      </c>
      <c r="BZ17" s="5"/>
      <c r="CC17">
        <v>10</v>
      </c>
      <c r="CD17" t="s">
        <v>253</v>
      </c>
      <c r="CE17">
        <v>1508</v>
      </c>
      <c r="CF17">
        <v>9</v>
      </c>
      <c r="CJ17">
        <v>0.6</v>
      </c>
      <c r="CQ17" s="5">
        <v>10</v>
      </c>
      <c r="CR17" s="5" t="s">
        <v>253</v>
      </c>
      <c r="CS17" s="5">
        <v>1789</v>
      </c>
      <c r="CT17" s="5">
        <v>1243</v>
      </c>
      <c r="CU17" s="5"/>
      <c r="CX17">
        <v>7</v>
      </c>
      <c r="CY17" t="s">
        <v>122</v>
      </c>
      <c r="CZ17">
        <v>1791</v>
      </c>
      <c r="DA17">
        <v>8</v>
      </c>
      <c r="DE17" t="s">
        <v>121</v>
      </c>
      <c r="DG17">
        <v>957</v>
      </c>
      <c r="DL17">
        <v>8</v>
      </c>
      <c r="DM17" t="s">
        <v>252</v>
      </c>
      <c r="DN17">
        <v>1577</v>
      </c>
      <c r="DO17">
        <v>27</v>
      </c>
      <c r="DS17">
        <v>5</v>
      </c>
      <c r="DT17" t="s">
        <v>121</v>
      </c>
      <c r="DU17">
        <v>1552</v>
      </c>
      <c r="DV17">
        <v>55</v>
      </c>
      <c r="EA17" t="s">
        <v>121</v>
      </c>
      <c r="EC17">
        <v>758</v>
      </c>
    </row>
    <row r="18" spans="2:133" x14ac:dyDescent="0.25">
      <c r="B18" s="5">
        <v>12</v>
      </c>
      <c r="C18" s="5" t="s">
        <v>118</v>
      </c>
      <c r="D18" s="5">
        <v>1397</v>
      </c>
      <c r="E18" s="5">
        <v>1118</v>
      </c>
      <c r="F18" s="5"/>
      <c r="H18" s="5">
        <v>12</v>
      </c>
      <c r="I18" s="5" t="s">
        <v>119</v>
      </c>
      <c r="J18" s="5">
        <v>1380</v>
      </c>
      <c r="K18" s="21">
        <v>39</v>
      </c>
      <c r="L18" s="5"/>
      <c r="P18" s="5">
        <v>12</v>
      </c>
      <c r="Q18" s="16" t="s">
        <v>123</v>
      </c>
      <c r="R18" s="11">
        <v>1438</v>
      </c>
      <c r="S18" s="15">
        <v>44</v>
      </c>
      <c r="T18" s="5"/>
      <c r="X18" s="5">
        <v>12</v>
      </c>
      <c r="Y18" s="16" t="s">
        <v>123</v>
      </c>
      <c r="Z18" s="11">
        <v>1438</v>
      </c>
      <c r="AA18" s="15">
        <v>38</v>
      </c>
      <c r="AB18" s="5"/>
      <c r="AF18" s="5">
        <v>13</v>
      </c>
      <c r="AG18" s="16" t="s">
        <v>118</v>
      </c>
      <c r="AH18" s="11">
        <v>1441</v>
      </c>
      <c r="AI18" s="15">
        <v>30</v>
      </c>
      <c r="AJ18" s="5"/>
      <c r="AM18" s="5">
        <v>12</v>
      </c>
      <c r="AN18" s="5" t="s">
        <v>120</v>
      </c>
      <c r="AO18" s="5">
        <v>1502</v>
      </c>
      <c r="AP18" s="5">
        <v>271</v>
      </c>
      <c r="AQ18" s="5"/>
      <c r="AT18" s="5">
        <v>12</v>
      </c>
      <c r="AU18" s="5" t="s">
        <v>122</v>
      </c>
      <c r="AV18" s="5">
        <v>1523</v>
      </c>
      <c r="AW18" s="5">
        <v>343</v>
      </c>
      <c r="AX18" s="5"/>
      <c r="BA18" s="5">
        <v>12</v>
      </c>
      <c r="BB18" s="5" t="s">
        <v>122</v>
      </c>
      <c r="BC18" s="5">
        <v>1523</v>
      </c>
      <c r="BD18" s="5">
        <v>711</v>
      </c>
      <c r="BE18" s="5"/>
      <c r="BH18" s="5"/>
      <c r="BI18" s="5"/>
      <c r="BJ18" s="5"/>
      <c r="BK18" s="6">
        <f>SUM(BK10:BK17)</f>
        <v>1785</v>
      </c>
      <c r="BL18" s="5"/>
      <c r="BO18" s="5" t="s">
        <v>126</v>
      </c>
      <c r="BP18" s="5"/>
      <c r="BQ18" s="5"/>
      <c r="BR18" s="5"/>
      <c r="BS18" s="5"/>
      <c r="BV18" s="5">
        <v>11</v>
      </c>
      <c r="BW18" s="5" t="s">
        <v>118</v>
      </c>
      <c r="BX18" s="5">
        <v>1481</v>
      </c>
      <c r="BY18" s="5">
        <v>21</v>
      </c>
      <c r="BZ18" s="5"/>
      <c r="CC18">
        <v>11</v>
      </c>
      <c r="CD18" t="s">
        <v>120</v>
      </c>
      <c r="CE18">
        <v>1586</v>
      </c>
      <c r="CF18">
        <v>33</v>
      </c>
      <c r="CJ18">
        <v>9</v>
      </c>
      <c r="CK18" t="s">
        <v>119</v>
      </c>
      <c r="CL18">
        <v>1445</v>
      </c>
      <c r="CM18">
        <v>161</v>
      </c>
      <c r="CQ18" s="5">
        <v>11</v>
      </c>
      <c r="CR18" s="5" t="s">
        <v>253</v>
      </c>
      <c r="CS18" s="5">
        <v>1790</v>
      </c>
      <c r="CT18" s="5">
        <v>2263</v>
      </c>
      <c r="CU18" s="5"/>
      <c r="CX18">
        <v>8</v>
      </c>
      <c r="CY18" t="s">
        <v>252</v>
      </c>
      <c r="CZ18">
        <v>1577</v>
      </c>
      <c r="DA18">
        <v>27</v>
      </c>
      <c r="DE18" t="s">
        <v>121</v>
      </c>
      <c r="DG18">
        <v>758</v>
      </c>
      <c r="DL18">
        <v>9</v>
      </c>
      <c r="DM18" t="s">
        <v>122</v>
      </c>
      <c r="DN18">
        <v>1791</v>
      </c>
      <c r="DO18">
        <v>8</v>
      </c>
      <c r="DT18" t="s">
        <v>118</v>
      </c>
      <c r="DU18">
        <v>1866</v>
      </c>
      <c r="DV18">
        <v>405</v>
      </c>
      <c r="EA18" t="s">
        <v>123</v>
      </c>
      <c r="EC18">
        <v>741</v>
      </c>
    </row>
    <row r="19" spans="2:133" x14ac:dyDescent="0.25">
      <c r="B19" s="5">
        <v>13</v>
      </c>
      <c r="C19" s="5" t="s">
        <v>118</v>
      </c>
      <c r="D19" s="5">
        <v>1330</v>
      </c>
      <c r="E19" s="5">
        <v>47</v>
      </c>
      <c r="F19" s="5"/>
      <c r="H19" s="5">
        <v>13</v>
      </c>
      <c r="I19" s="5" t="s">
        <v>119</v>
      </c>
      <c r="J19" s="5">
        <v>1440</v>
      </c>
      <c r="K19" s="21">
        <v>63</v>
      </c>
      <c r="L19" s="5"/>
      <c r="P19" s="5">
        <v>13</v>
      </c>
      <c r="Q19" s="16" t="s">
        <v>118</v>
      </c>
      <c r="R19" s="11">
        <v>1441</v>
      </c>
      <c r="S19" s="15">
        <v>398</v>
      </c>
      <c r="T19" s="5"/>
      <c r="X19" s="5">
        <v>13</v>
      </c>
      <c r="Y19" s="16" t="s">
        <v>118</v>
      </c>
      <c r="Z19" s="11">
        <v>1441</v>
      </c>
      <c r="AA19" s="15">
        <v>30</v>
      </c>
      <c r="AB19" s="5"/>
      <c r="AF19" s="5">
        <v>14</v>
      </c>
      <c r="AG19" s="16" t="s">
        <v>118</v>
      </c>
      <c r="AH19" s="11">
        <v>1397</v>
      </c>
      <c r="AI19" s="15">
        <v>78</v>
      </c>
      <c r="AJ19" s="5"/>
      <c r="AM19" s="5">
        <v>13</v>
      </c>
      <c r="AN19" s="5" t="s">
        <v>120</v>
      </c>
      <c r="AO19" s="5">
        <v>1423</v>
      </c>
      <c r="AP19" s="5">
        <v>109</v>
      </c>
      <c r="AQ19" s="5"/>
      <c r="AT19" s="5">
        <v>13</v>
      </c>
      <c r="AU19" s="5" t="s">
        <v>124</v>
      </c>
      <c r="AV19" s="5">
        <v>1443</v>
      </c>
      <c r="AW19" s="5">
        <v>52</v>
      </c>
      <c r="AX19" s="5"/>
      <c r="BA19" s="5">
        <v>14</v>
      </c>
      <c r="BB19" s="5" t="s">
        <v>124</v>
      </c>
      <c r="BC19" s="5">
        <v>1571</v>
      </c>
      <c r="BD19" s="5">
        <v>1579</v>
      </c>
      <c r="BE19" s="5"/>
      <c r="BH19" s="5" t="s">
        <v>126</v>
      </c>
      <c r="BI19" s="5"/>
      <c r="BJ19" s="5"/>
      <c r="BK19" s="5"/>
      <c r="BL19" s="5"/>
      <c r="BO19" s="5">
        <v>12</v>
      </c>
      <c r="BP19" s="5" t="s">
        <v>120</v>
      </c>
      <c r="BQ19" s="5">
        <v>1586</v>
      </c>
      <c r="BR19" s="5">
        <v>56</v>
      </c>
      <c r="BS19" s="5"/>
      <c r="BV19" s="5">
        <v>12</v>
      </c>
      <c r="BW19" s="5" t="s">
        <v>121</v>
      </c>
      <c r="BX19" s="5">
        <v>1508</v>
      </c>
      <c r="BY19" s="5">
        <v>11</v>
      </c>
      <c r="BZ19" s="5"/>
      <c r="CC19">
        <v>12</v>
      </c>
      <c r="CD19" t="s">
        <v>120</v>
      </c>
      <c r="CE19">
        <v>1410</v>
      </c>
      <c r="CF19">
        <v>52</v>
      </c>
      <c r="CM19">
        <v>161</v>
      </c>
      <c r="CQ19" s="5">
        <v>12</v>
      </c>
      <c r="CR19" s="5" t="s">
        <v>118</v>
      </c>
      <c r="CS19" s="5">
        <v>1481</v>
      </c>
      <c r="CT19" s="5">
        <v>4</v>
      </c>
      <c r="CU19" s="5"/>
      <c r="DA19">
        <f>SUM(DA14:DA18)</f>
        <v>10504</v>
      </c>
      <c r="DD19">
        <v>6</v>
      </c>
      <c r="DE19" t="s">
        <v>253</v>
      </c>
      <c r="DF19">
        <v>1811</v>
      </c>
      <c r="DG19">
        <v>102</v>
      </c>
      <c r="DO19">
        <f>SUM(DO14:DO18)</f>
        <v>1923</v>
      </c>
      <c r="DV19">
        <f>SUM(DV14:DV18)</f>
        <v>1167</v>
      </c>
      <c r="EA19" t="s">
        <v>123</v>
      </c>
      <c r="EC19">
        <v>389</v>
      </c>
    </row>
    <row r="20" spans="2:133" x14ac:dyDescent="0.25">
      <c r="B20" s="5">
        <v>14</v>
      </c>
      <c r="C20" s="5" t="s">
        <v>120</v>
      </c>
      <c r="D20" s="5">
        <v>1398</v>
      </c>
      <c r="E20" s="5">
        <v>1788</v>
      </c>
      <c r="F20" s="5"/>
      <c r="H20" s="5">
        <v>14</v>
      </c>
      <c r="I20" s="5" t="s">
        <v>123</v>
      </c>
      <c r="J20" s="5">
        <v>1438</v>
      </c>
      <c r="K20" s="21">
        <v>180</v>
      </c>
      <c r="L20" s="5"/>
      <c r="P20" s="5">
        <v>14</v>
      </c>
      <c r="Q20" s="16" t="s">
        <v>118</v>
      </c>
      <c r="R20" s="11">
        <v>1397</v>
      </c>
      <c r="S20" s="15">
        <v>78</v>
      </c>
      <c r="T20" s="5"/>
      <c r="X20" s="5">
        <v>14</v>
      </c>
      <c r="Y20" s="16" t="s">
        <v>118</v>
      </c>
      <c r="Z20" s="11">
        <v>1397</v>
      </c>
      <c r="AA20" s="15">
        <v>78</v>
      </c>
      <c r="AB20" s="5"/>
      <c r="AF20" s="5">
        <v>15</v>
      </c>
      <c r="AG20" s="16" t="s">
        <v>125</v>
      </c>
      <c r="AH20" s="11">
        <v>1371</v>
      </c>
      <c r="AI20" s="15">
        <v>165</v>
      </c>
      <c r="AJ20" s="5"/>
      <c r="AM20" s="5">
        <v>14</v>
      </c>
      <c r="AN20" s="5" t="s">
        <v>122</v>
      </c>
      <c r="AO20" s="5">
        <v>1523</v>
      </c>
      <c r="AP20" s="5">
        <v>528</v>
      </c>
      <c r="AQ20" s="5"/>
      <c r="AT20" s="5">
        <v>14</v>
      </c>
      <c r="AU20" s="5" t="s">
        <v>124</v>
      </c>
      <c r="AV20" s="5">
        <v>1571</v>
      </c>
      <c r="AW20" s="5">
        <v>1784</v>
      </c>
      <c r="AX20" s="5"/>
      <c r="BA20" s="5">
        <v>15</v>
      </c>
      <c r="BB20" s="5" t="s">
        <v>120</v>
      </c>
      <c r="BC20" s="5">
        <v>1558</v>
      </c>
      <c r="BD20" s="5">
        <v>299</v>
      </c>
      <c r="BE20" s="5"/>
      <c r="BH20" s="5">
        <v>13</v>
      </c>
      <c r="BI20" s="5" t="s">
        <v>120</v>
      </c>
      <c r="BJ20" s="5">
        <v>1586</v>
      </c>
      <c r="BK20" s="5">
        <v>56</v>
      </c>
      <c r="BL20" s="5"/>
      <c r="BO20" s="5">
        <v>13</v>
      </c>
      <c r="BP20" s="5" t="s">
        <v>119</v>
      </c>
      <c r="BQ20" s="5">
        <v>1609</v>
      </c>
      <c r="BR20" s="5">
        <v>334</v>
      </c>
      <c r="BS20" s="5"/>
      <c r="BV20" s="5"/>
      <c r="BW20" s="5"/>
      <c r="BX20" s="5"/>
      <c r="BY20" s="5">
        <f>SUM(BY15:BY19)</f>
        <v>311</v>
      </c>
      <c r="BZ20" s="5"/>
      <c r="CF20">
        <v>251</v>
      </c>
      <c r="CJ20">
        <v>0.7</v>
      </c>
      <c r="CQ20" s="5"/>
      <c r="CR20" s="5"/>
      <c r="CS20" s="5"/>
      <c r="CT20" s="5">
        <f>SUM(CT13:CT19)</f>
        <v>3680</v>
      </c>
      <c r="CU20" s="5"/>
      <c r="DG20">
        <f>SUM(DG10:DG19)</f>
        <v>6573</v>
      </c>
      <c r="DZ20">
        <v>8</v>
      </c>
      <c r="EA20" t="s">
        <v>122</v>
      </c>
      <c r="EB20">
        <v>1791</v>
      </c>
      <c r="EC20">
        <v>8</v>
      </c>
    </row>
    <row r="21" spans="2:133" x14ac:dyDescent="0.25">
      <c r="B21" s="5">
        <v>15</v>
      </c>
      <c r="C21" s="5" t="s">
        <v>120</v>
      </c>
      <c r="D21" s="5">
        <v>1326</v>
      </c>
      <c r="E21" s="5">
        <v>40</v>
      </c>
      <c r="F21" s="5"/>
      <c r="H21" s="5">
        <v>15</v>
      </c>
      <c r="I21" s="5" t="s">
        <v>121</v>
      </c>
      <c r="J21" s="5">
        <v>1394</v>
      </c>
      <c r="K21" s="21">
        <v>242</v>
      </c>
      <c r="L21" s="5"/>
      <c r="P21" s="5">
        <v>15</v>
      </c>
      <c r="Q21" s="16" t="s">
        <v>125</v>
      </c>
      <c r="R21" s="11">
        <v>1371</v>
      </c>
      <c r="S21" s="15">
        <v>719</v>
      </c>
      <c r="T21" s="5"/>
      <c r="X21" s="5">
        <v>15</v>
      </c>
      <c r="Y21" s="16" t="s">
        <v>125</v>
      </c>
      <c r="Z21" s="11">
        <v>1371</v>
      </c>
      <c r="AA21" s="15">
        <v>270</v>
      </c>
      <c r="AB21" s="5"/>
      <c r="AF21" s="5">
        <v>16</v>
      </c>
      <c r="AG21" s="16" t="s">
        <v>118</v>
      </c>
      <c r="AH21" s="11">
        <v>1528</v>
      </c>
      <c r="AI21" s="15">
        <v>1053</v>
      </c>
      <c r="AJ21" s="5"/>
      <c r="AM21" s="5">
        <v>15</v>
      </c>
      <c r="AN21" s="5" t="s">
        <v>123</v>
      </c>
      <c r="AO21" s="5">
        <v>1554</v>
      </c>
      <c r="AP21" s="5">
        <v>1955</v>
      </c>
      <c r="AQ21" s="5"/>
      <c r="AT21" s="5">
        <v>15</v>
      </c>
      <c r="AU21" s="5" t="s">
        <v>120</v>
      </c>
      <c r="AV21" s="5">
        <v>1558</v>
      </c>
      <c r="AW21" s="5">
        <v>1152</v>
      </c>
      <c r="AX21" s="5"/>
      <c r="BA21" s="5">
        <v>16</v>
      </c>
      <c r="BB21" s="5" t="s">
        <v>120</v>
      </c>
      <c r="BC21" s="5">
        <v>1502</v>
      </c>
      <c r="BD21" s="5">
        <v>176</v>
      </c>
      <c r="BE21" s="5"/>
      <c r="BH21" s="5">
        <v>14</v>
      </c>
      <c r="BI21" s="5" t="s">
        <v>119</v>
      </c>
      <c r="BJ21" s="5">
        <v>1609</v>
      </c>
      <c r="BK21" s="5">
        <v>328</v>
      </c>
      <c r="BL21" s="5"/>
      <c r="BO21" s="5">
        <v>14</v>
      </c>
      <c r="BP21" s="5" t="s">
        <v>120</v>
      </c>
      <c r="BQ21" s="5">
        <v>1410</v>
      </c>
      <c r="BR21" s="5">
        <v>52</v>
      </c>
      <c r="BS21" s="5"/>
      <c r="BV21" s="5">
        <v>0.6</v>
      </c>
      <c r="BW21" s="5"/>
      <c r="BX21" s="5"/>
      <c r="BY21" s="5"/>
      <c r="BZ21" s="5"/>
      <c r="CC21">
        <v>0.6</v>
      </c>
      <c r="CJ21">
        <v>10</v>
      </c>
      <c r="CK21" t="s">
        <v>125</v>
      </c>
      <c r="CL21">
        <v>1604</v>
      </c>
      <c r="CM21">
        <v>963</v>
      </c>
      <c r="CQ21" s="5">
        <v>0.6</v>
      </c>
      <c r="CR21" s="5"/>
      <c r="CS21" s="5"/>
      <c r="CT21" s="5"/>
      <c r="CU21" s="5"/>
      <c r="CX21">
        <v>0.6</v>
      </c>
      <c r="DL21">
        <v>0.6</v>
      </c>
      <c r="DS21">
        <v>0.6</v>
      </c>
      <c r="DZ21">
        <v>9</v>
      </c>
      <c r="EA21" t="s">
        <v>252</v>
      </c>
      <c r="EB21">
        <v>1577</v>
      </c>
      <c r="EC21">
        <v>114</v>
      </c>
    </row>
    <row r="22" spans="2:133" x14ac:dyDescent="0.25">
      <c r="B22" s="5">
        <v>16</v>
      </c>
      <c r="C22" s="5" t="s">
        <v>122</v>
      </c>
      <c r="D22" s="5">
        <v>1354</v>
      </c>
      <c r="E22" s="5">
        <v>662</v>
      </c>
      <c r="F22" s="5"/>
      <c r="H22" s="5">
        <v>16</v>
      </c>
      <c r="I22" s="5" t="s">
        <v>120</v>
      </c>
      <c r="J22" s="5">
        <v>1423</v>
      </c>
      <c r="K22" s="21">
        <v>459</v>
      </c>
      <c r="L22" s="5"/>
      <c r="P22" s="5"/>
      <c r="Q22" s="16"/>
      <c r="R22" s="11"/>
      <c r="S22" s="14">
        <f>SUM(S12:S21)</f>
        <v>4387</v>
      </c>
      <c r="T22" s="5"/>
      <c r="X22" s="5">
        <v>16</v>
      </c>
      <c r="Y22" s="16" t="s">
        <v>118</v>
      </c>
      <c r="Z22" s="11">
        <v>1528</v>
      </c>
      <c r="AA22" s="15">
        <v>1694</v>
      </c>
      <c r="AB22" s="5"/>
      <c r="AF22" s="5"/>
      <c r="AG22" s="16" t="s">
        <v>118</v>
      </c>
      <c r="AH22" s="11">
        <v>1539</v>
      </c>
      <c r="AI22" s="15">
        <v>1048</v>
      </c>
      <c r="AJ22" s="5"/>
      <c r="AM22" s="5">
        <v>16</v>
      </c>
      <c r="AN22" s="5" t="s">
        <v>124</v>
      </c>
      <c r="AO22" s="5">
        <v>1443</v>
      </c>
      <c r="AP22" s="5">
        <v>52</v>
      </c>
      <c r="AQ22" s="5"/>
      <c r="AT22" s="5">
        <v>16</v>
      </c>
      <c r="AU22" s="5" t="s">
        <v>120</v>
      </c>
      <c r="AV22" s="5">
        <v>1502</v>
      </c>
      <c r="AW22" s="5">
        <v>213</v>
      </c>
      <c r="AX22" s="5"/>
      <c r="BA22" s="5">
        <v>18</v>
      </c>
      <c r="BB22" s="5" t="s">
        <v>120</v>
      </c>
      <c r="BC22" s="5">
        <v>1423</v>
      </c>
      <c r="BD22" s="5">
        <v>109</v>
      </c>
      <c r="BE22" s="5"/>
      <c r="BH22" s="5">
        <v>15</v>
      </c>
      <c r="BI22" s="5" t="s">
        <v>120</v>
      </c>
      <c r="BJ22" s="5">
        <v>1410</v>
      </c>
      <c r="BK22" s="5">
        <v>52</v>
      </c>
      <c r="BL22" s="5"/>
      <c r="BO22" s="5">
        <v>15</v>
      </c>
      <c r="BP22" s="5" t="s">
        <v>251</v>
      </c>
      <c r="BQ22" s="5">
        <v>1598</v>
      </c>
      <c r="BR22" s="5">
        <v>28</v>
      </c>
      <c r="BS22" s="5"/>
      <c r="BV22" s="5">
        <v>13</v>
      </c>
      <c r="BW22" s="5" t="s">
        <v>119</v>
      </c>
      <c r="BX22" s="5">
        <v>1445</v>
      </c>
      <c r="BY22" s="5">
        <v>110</v>
      </c>
      <c r="BZ22" s="5"/>
      <c r="CC22">
        <v>13</v>
      </c>
      <c r="CD22" t="s">
        <v>119</v>
      </c>
      <c r="CE22">
        <v>1455</v>
      </c>
      <c r="CF22">
        <v>161</v>
      </c>
      <c r="CJ22">
        <v>11</v>
      </c>
      <c r="CK22" t="s">
        <v>119</v>
      </c>
      <c r="CL22">
        <v>1597</v>
      </c>
      <c r="CM22">
        <v>101</v>
      </c>
      <c r="CQ22" s="5">
        <v>13</v>
      </c>
      <c r="CR22" s="5" t="s">
        <v>119</v>
      </c>
      <c r="CS22" s="5">
        <v>1455</v>
      </c>
      <c r="CT22" s="5">
        <v>161</v>
      </c>
      <c r="CU22" s="5"/>
      <c r="CX22">
        <v>9</v>
      </c>
      <c r="CY22" t="s">
        <v>119</v>
      </c>
      <c r="CZ22">
        <v>1455</v>
      </c>
      <c r="DA22">
        <v>148</v>
      </c>
      <c r="DD22">
        <v>0.55000000000000004</v>
      </c>
      <c r="DL22">
        <v>10</v>
      </c>
      <c r="DM22" t="s">
        <v>119</v>
      </c>
      <c r="DN22">
        <v>1455</v>
      </c>
      <c r="DO22">
        <v>148</v>
      </c>
      <c r="DS22">
        <v>6</v>
      </c>
      <c r="DT22" t="s">
        <v>119</v>
      </c>
      <c r="DU22">
        <v>1455</v>
      </c>
      <c r="DV22">
        <v>148</v>
      </c>
      <c r="EC22">
        <f>SUM(EC16:EC21)</f>
        <v>2742</v>
      </c>
    </row>
    <row r="23" spans="2:133" x14ac:dyDescent="0.25">
      <c r="B23" s="5">
        <v>17</v>
      </c>
      <c r="C23" s="5" t="s">
        <v>123</v>
      </c>
      <c r="D23" s="5">
        <v>1386</v>
      </c>
      <c r="E23" s="5">
        <v>1432</v>
      </c>
      <c r="F23" s="5"/>
      <c r="H23" s="5">
        <v>17</v>
      </c>
      <c r="I23" s="5" t="s">
        <v>120</v>
      </c>
      <c r="J23" s="5">
        <v>1326</v>
      </c>
      <c r="K23" s="21">
        <v>49</v>
      </c>
      <c r="L23" s="5"/>
      <c r="P23" s="5"/>
      <c r="Q23" s="13" t="s">
        <v>204</v>
      </c>
      <c r="R23" s="11"/>
      <c r="S23" s="15"/>
      <c r="T23" s="5"/>
      <c r="X23" s="5">
        <v>17</v>
      </c>
      <c r="Y23" s="16" t="s">
        <v>122</v>
      </c>
      <c r="Z23" s="11">
        <v>1523</v>
      </c>
      <c r="AA23" s="15">
        <v>649</v>
      </c>
      <c r="AB23" s="5"/>
      <c r="AF23" s="5">
        <v>17</v>
      </c>
      <c r="AG23" s="16" t="s">
        <v>122</v>
      </c>
      <c r="AH23" s="11">
        <v>1523</v>
      </c>
      <c r="AI23" s="15">
        <v>534</v>
      </c>
      <c r="AJ23" s="5"/>
      <c r="AM23" s="5">
        <v>17</v>
      </c>
      <c r="AN23" s="5" t="s">
        <v>125</v>
      </c>
      <c r="AO23" s="5">
        <v>1371</v>
      </c>
      <c r="AP23" s="5">
        <v>120</v>
      </c>
      <c r="AQ23" s="5"/>
      <c r="AT23" s="5">
        <v>17</v>
      </c>
      <c r="AU23" s="5" t="s">
        <v>125</v>
      </c>
      <c r="AV23" s="5">
        <v>1371</v>
      </c>
      <c r="AW23" s="5">
        <v>76</v>
      </c>
      <c r="AX23" s="5"/>
      <c r="BA23" s="5"/>
      <c r="BB23" s="5"/>
      <c r="BC23" s="5"/>
      <c r="BD23" s="6">
        <f>SUM(BD12:BD22)</f>
        <v>5334</v>
      </c>
      <c r="BE23" s="5"/>
      <c r="BH23" s="5">
        <v>16</v>
      </c>
      <c r="BI23" s="5" t="s">
        <v>251</v>
      </c>
      <c r="BJ23" s="5">
        <v>1598</v>
      </c>
      <c r="BK23" s="5">
        <v>28</v>
      </c>
      <c r="BL23" s="5"/>
      <c r="BO23" s="5">
        <v>16</v>
      </c>
      <c r="BP23" s="5" t="s">
        <v>251</v>
      </c>
      <c r="BQ23" s="5">
        <v>1508</v>
      </c>
      <c r="BR23" s="5">
        <v>11</v>
      </c>
      <c r="BS23" s="5"/>
      <c r="BV23" s="5"/>
      <c r="BW23" s="5"/>
      <c r="BX23" s="5"/>
      <c r="BY23" s="5">
        <f>SUM(BY22)</f>
        <v>110</v>
      </c>
      <c r="BZ23" s="5"/>
      <c r="CF23">
        <v>161</v>
      </c>
      <c r="CJ23">
        <v>12</v>
      </c>
      <c r="CK23" t="s">
        <v>253</v>
      </c>
      <c r="CL23">
        <v>1552</v>
      </c>
      <c r="CM23">
        <v>55</v>
      </c>
      <c r="CQ23" s="5"/>
      <c r="CR23" s="5"/>
      <c r="CS23" s="5"/>
      <c r="CT23" s="5">
        <f>SUM(CT22)</f>
        <v>161</v>
      </c>
      <c r="CU23" s="5"/>
      <c r="DA23">
        <v>148</v>
      </c>
      <c r="DD23">
        <v>7</v>
      </c>
      <c r="DE23" t="s">
        <v>118</v>
      </c>
      <c r="DF23">
        <v>1441</v>
      </c>
      <c r="DG23">
        <v>30</v>
      </c>
      <c r="DO23">
        <f>SUM(DO22)</f>
        <v>148</v>
      </c>
      <c r="DV23">
        <f>SUM(DV22)</f>
        <v>148</v>
      </c>
    </row>
    <row r="24" spans="2:133" x14ac:dyDescent="0.25">
      <c r="B24" s="5">
        <v>18</v>
      </c>
      <c r="C24" s="5" t="s">
        <v>121</v>
      </c>
      <c r="D24" s="5">
        <v>1394</v>
      </c>
      <c r="E24" s="5">
        <v>1553</v>
      </c>
      <c r="F24" s="5"/>
      <c r="H24" s="5">
        <v>18</v>
      </c>
      <c r="I24" s="5" t="s">
        <v>124</v>
      </c>
      <c r="J24" s="5">
        <v>1443</v>
      </c>
      <c r="K24" s="21">
        <v>438</v>
      </c>
      <c r="L24" s="5"/>
      <c r="P24" s="5">
        <v>16</v>
      </c>
      <c r="Q24" s="16" t="s">
        <v>205</v>
      </c>
      <c r="R24" s="11">
        <v>1414</v>
      </c>
      <c r="S24" s="15">
        <v>110</v>
      </c>
      <c r="T24" s="5"/>
      <c r="X24" s="5"/>
      <c r="Y24" s="16"/>
      <c r="Z24" s="11"/>
      <c r="AA24" s="14">
        <f>SUM(AA12:AA23)</f>
        <v>5370</v>
      </c>
      <c r="AB24" s="5"/>
      <c r="AF24" s="5"/>
      <c r="AG24" s="16"/>
      <c r="AH24" s="11"/>
      <c r="AI24" s="14">
        <f>SUM(AI12:AI23)</f>
        <v>4047</v>
      </c>
      <c r="AJ24" s="5"/>
      <c r="AM24" s="5"/>
      <c r="AN24" s="5"/>
      <c r="AO24" s="5"/>
      <c r="AP24" s="6">
        <f>SUM(AP12:AP23)</f>
        <v>4393</v>
      </c>
      <c r="AQ24" s="5"/>
      <c r="AT24" s="5">
        <v>18</v>
      </c>
      <c r="AU24" s="5" t="s">
        <v>120</v>
      </c>
      <c r="AV24" s="5">
        <v>1423</v>
      </c>
      <c r="AW24" s="5">
        <v>109</v>
      </c>
      <c r="AX24" s="5"/>
      <c r="BA24" s="5" t="s">
        <v>126</v>
      </c>
      <c r="BB24" s="5"/>
      <c r="BC24" s="5"/>
      <c r="BD24" s="5"/>
      <c r="BE24" s="5"/>
      <c r="BH24" s="5">
        <v>17</v>
      </c>
      <c r="BI24" s="5" t="s">
        <v>251</v>
      </c>
      <c r="BJ24" s="5">
        <v>1508</v>
      </c>
      <c r="BK24" s="5">
        <v>11</v>
      </c>
      <c r="BL24" s="5"/>
      <c r="BO24" s="5">
        <v>17</v>
      </c>
      <c r="BP24" s="5" t="s">
        <v>252</v>
      </c>
      <c r="BQ24" s="5">
        <v>1577</v>
      </c>
      <c r="BR24" s="5">
        <v>194</v>
      </c>
      <c r="BS24" s="5"/>
      <c r="BV24" s="5">
        <v>0.7</v>
      </c>
      <c r="BW24" s="5"/>
      <c r="BX24" s="5"/>
      <c r="BY24" s="5"/>
      <c r="BZ24" s="5"/>
      <c r="CC24">
        <v>0.7</v>
      </c>
      <c r="CJ24">
        <v>13</v>
      </c>
      <c r="CK24" t="s">
        <v>228</v>
      </c>
      <c r="CL24">
        <v>1594</v>
      </c>
      <c r="CM24">
        <v>64</v>
      </c>
      <c r="CQ24" s="5">
        <v>0.7</v>
      </c>
      <c r="CR24" s="5"/>
      <c r="CS24" s="5"/>
      <c r="CT24" s="5"/>
      <c r="CU24" s="5"/>
      <c r="DG24">
        <f>SUM(DG23)</f>
        <v>30</v>
      </c>
      <c r="DZ24">
        <v>0.55000000000000004</v>
      </c>
    </row>
    <row r="25" spans="2:133" x14ac:dyDescent="0.25">
      <c r="B25" s="5">
        <v>19</v>
      </c>
      <c r="C25" s="5" t="s">
        <v>124</v>
      </c>
      <c r="D25" s="5">
        <v>1387</v>
      </c>
      <c r="E25" s="5">
        <v>1722</v>
      </c>
      <c r="F25" s="5"/>
      <c r="H25" s="5">
        <v>19</v>
      </c>
      <c r="I25" s="5" t="s">
        <v>122</v>
      </c>
      <c r="J25" s="5">
        <v>1354</v>
      </c>
      <c r="K25" s="21">
        <v>58</v>
      </c>
      <c r="L25" s="5"/>
      <c r="P25" s="5">
        <v>17</v>
      </c>
      <c r="Q25" s="16" t="s">
        <v>120</v>
      </c>
      <c r="R25" s="11">
        <v>1410</v>
      </c>
      <c r="S25" s="15">
        <v>142</v>
      </c>
      <c r="T25" s="5"/>
      <c r="X25" s="5"/>
      <c r="Y25" s="13" t="s">
        <v>204</v>
      </c>
      <c r="Z25" s="11"/>
      <c r="AA25" s="15"/>
      <c r="AB25" s="5"/>
      <c r="AF25" s="5"/>
      <c r="AG25" s="13" t="s">
        <v>204</v>
      </c>
      <c r="AH25" s="11"/>
      <c r="AI25" s="15"/>
      <c r="AJ25" s="5"/>
      <c r="AM25" s="5" t="s">
        <v>126</v>
      </c>
      <c r="AN25" s="5"/>
      <c r="AO25" s="5"/>
      <c r="AP25" s="5"/>
      <c r="AQ25" s="5"/>
      <c r="AT25" s="5"/>
      <c r="AU25" s="5"/>
      <c r="AV25" s="5"/>
      <c r="AW25" s="6">
        <f>SUM(AW12:AW24)</f>
        <v>6770</v>
      </c>
      <c r="AX25" s="5"/>
      <c r="BA25" s="5">
        <v>19</v>
      </c>
      <c r="BB25" s="5" t="s">
        <v>120</v>
      </c>
      <c r="BC25" s="5">
        <v>1586</v>
      </c>
      <c r="BD25" s="5">
        <v>56</v>
      </c>
      <c r="BE25" s="5"/>
      <c r="BH25" s="5">
        <v>18</v>
      </c>
      <c r="BI25" s="5" t="s">
        <v>252</v>
      </c>
      <c r="BJ25" s="5">
        <v>1577</v>
      </c>
      <c r="BK25" s="5">
        <v>194</v>
      </c>
      <c r="BL25" s="5"/>
      <c r="BO25" s="5">
        <v>18</v>
      </c>
      <c r="BP25" s="5" t="s">
        <v>125</v>
      </c>
      <c r="BQ25" s="5">
        <v>1412</v>
      </c>
      <c r="BR25" s="5">
        <v>490</v>
      </c>
      <c r="BS25" s="5"/>
      <c r="BV25" s="5">
        <v>14</v>
      </c>
      <c r="BW25" s="5" t="s">
        <v>119</v>
      </c>
      <c r="BX25" s="5">
        <v>1597</v>
      </c>
      <c r="BY25" s="5">
        <v>107</v>
      </c>
      <c r="BZ25" s="5"/>
      <c r="CC25">
        <v>14</v>
      </c>
      <c r="CD25" t="s">
        <v>125</v>
      </c>
      <c r="CE25">
        <v>1604</v>
      </c>
      <c r="CF25">
        <v>1112</v>
      </c>
      <c r="CM25">
        <v>1183</v>
      </c>
      <c r="CQ25" s="5">
        <v>14</v>
      </c>
      <c r="CR25" s="5" t="s">
        <v>228</v>
      </c>
      <c r="CS25" s="5">
        <v>1594</v>
      </c>
      <c r="CT25" s="5">
        <v>64</v>
      </c>
      <c r="CU25" s="5"/>
      <c r="CX25">
        <v>0.7</v>
      </c>
      <c r="DL25">
        <v>0.7</v>
      </c>
      <c r="DS25">
        <v>0.55000000000000004</v>
      </c>
      <c r="DZ25">
        <v>10</v>
      </c>
      <c r="EA25" t="s">
        <v>118</v>
      </c>
      <c r="EB25">
        <v>1441</v>
      </c>
      <c r="EC25">
        <v>30</v>
      </c>
    </row>
    <row r="26" spans="2:133" x14ac:dyDescent="0.25">
      <c r="B26" s="5"/>
      <c r="C26" s="5"/>
      <c r="D26" s="5"/>
      <c r="E26" s="5"/>
      <c r="F26" s="5"/>
      <c r="H26" s="5"/>
      <c r="I26" s="5"/>
      <c r="J26" s="5"/>
      <c r="K26" s="21"/>
      <c r="L26" s="5"/>
      <c r="P26" s="5"/>
      <c r="Q26" s="16"/>
      <c r="R26" s="11"/>
      <c r="S26" s="15"/>
      <c r="T26" s="5"/>
      <c r="X26" s="5"/>
      <c r="Y26" s="13"/>
      <c r="Z26" s="11"/>
      <c r="AA26" s="15"/>
      <c r="AB26" s="5"/>
      <c r="AF26" s="5"/>
      <c r="AG26" s="13"/>
      <c r="AH26" s="11"/>
      <c r="AI26" s="15"/>
      <c r="AJ26" s="5"/>
      <c r="AM26" s="5"/>
      <c r="AN26" s="5"/>
      <c r="AO26" s="5"/>
      <c r="AP26" s="5"/>
      <c r="AQ26" s="5"/>
      <c r="AT26" s="5"/>
      <c r="AU26" s="5"/>
      <c r="AV26" s="5"/>
      <c r="AW26" s="6"/>
      <c r="AX26" s="5"/>
      <c r="BA26" s="5"/>
      <c r="BB26" s="5"/>
      <c r="BC26" s="5"/>
      <c r="BD26" s="5"/>
      <c r="BE26" s="5"/>
      <c r="BH26" s="5">
        <v>19</v>
      </c>
      <c r="BI26" s="5" t="s">
        <v>125</v>
      </c>
      <c r="BJ26" s="5">
        <v>1412</v>
      </c>
      <c r="BK26" s="5">
        <v>530</v>
      </c>
      <c r="BL26" s="5"/>
      <c r="BO26" s="5"/>
      <c r="BP26" s="5"/>
      <c r="BQ26" s="5"/>
      <c r="BR26" s="6">
        <f>SUM(BR19:BR25)</f>
        <v>1165</v>
      </c>
      <c r="BS26" s="5"/>
      <c r="BV26" s="5">
        <v>15</v>
      </c>
      <c r="BW26" s="5" t="s">
        <v>228</v>
      </c>
      <c r="BX26" s="5">
        <v>1594</v>
      </c>
      <c r="BY26" s="5">
        <v>64</v>
      </c>
      <c r="BZ26" s="5"/>
      <c r="CC26">
        <v>15</v>
      </c>
      <c r="CD26" t="s">
        <v>119</v>
      </c>
      <c r="CE26">
        <v>1597</v>
      </c>
      <c r="CF26">
        <v>101</v>
      </c>
      <c r="CJ26">
        <v>0.28000000000000003</v>
      </c>
      <c r="CQ26" s="5">
        <v>15</v>
      </c>
      <c r="CR26" s="5" t="s">
        <v>119</v>
      </c>
      <c r="CS26" s="5">
        <v>1597</v>
      </c>
      <c r="CT26" s="5">
        <v>101</v>
      </c>
      <c r="CU26" s="5"/>
      <c r="CX26">
        <v>10</v>
      </c>
      <c r="CY26" t="s">
        <v>125</v>
      </c>
      <c r="CZ26">
        <v>1604</v>
      </c>
      <c r="DA26">
        <v>963</v>
      </c>
      <c r="DD26">
        <v>0.6</v>
      </c>
      <c r="DL26">
        <v>11</v>
      </c>
      <c r="DM26" t="s">
        <v>121</v>
      </c>
      <c r="DN26">
        <v>1552</v>
      </c>
      <c r="DO26">
        <v>55</v>
      </c>
      <c r="DS26">
        <v>7</v>
      </c>
      <c r="DT26" t="s">
        <v>118</v>
      </c>
      <c r="DU26">
        <v>1441</v>
      </c>
      <c r="DV26">
        <v>30</v>
      </c>
      <c r="EC26">
        <v>30</v>
      </c>
    </row>
    <row r="27" spans="2:133" x14ac:dyDescent="0.25">
      <c r="B27" s="5">
        <v>20</v>
      </c>
      <c r="C27" s="5" t="s">
        <v>125</v>
      </c>
      <c r="D27" s="5">
        <v>1342</v>
      </c>
      <c r="E27" s="5">
        <v>1522</v>
      </c>
      <c r="F27" s="5"/>
      <c r="H27" s="5">
        <v>20</v>
      </c>
      <c r="I27" s="5" t="s">
        <v>125</v>
      </c>
      <c r="J27" s="5">
        <v>1376</v>
      </c>
      <c r="K27" s="21">
        <v>731</v>
      </c>
      <c r="L27" s="5"/>
      <c r="P27" s="5">
        <v>18</v>
      </c>
      <c r="Q27" s="16" t="s">
        <v>119</v>
      </c>
      <c r="R27" s="11">
        <v>1480</v>
      </c>
      <c r="S27" s="15">
        <v>440</v>
      </c>
      <c r="T27" s="5"/>
      <c r="X27" s="5">
        <v>18</v>
      </c>
      <c r="Y27" s="16" t="s">
        <v>205</v>
      </c>
      <c r="Z27" s="11">
        <v>1414</v>
      </c>
      <c r="AA27" s="15">
        <v>110</v>
      </c>
      <c r="AB27" s="5"/>
      <c r="AF27" s="5">
        <v>18</v>
      </c>
      <c r="AG27" s="16" t="s">
        <v>205</v>
      </c>
      <c r="AH27" s="11">
        <v>1414</v>
      </c>
      <c r="AI27" s="15">
        <v>93</v>
      </c>
      <c r="AJ27" s="5"/>
      <c r="AM27" s="5">
        <v>18</v>
      </c>
      <c r="AN27" s="5" t="s">
        <v>120</v>
      </c>
      <c r="AO27" s="5">
        <v>1414</v>
      </c>
      <c r="AP27" s="5">
        <v>93</v>
      </c>
      <c r="AQ27" s="5"/>
      <c r="AT27" s="5" t="s">
        <v>126</v>
      </c>
      <c r="AU27" s="5"/>
      <c r="AV27" s="5"/>
      <c r="AW27" s="5"/>
      <c r="AX27" s="5"/>
      <c r="BA27" s="5">
        <v>20</v>
      </c>
      <c r="BB27" s="5" t="s">
        <v>119</v>
      </c>
      <c r="BC27" s="5">
        <v>1537</v>
      </c>
      <c r="BD27" s="5">
        <v>49</v>
      </c>
      <c r="BE27" s="5"/>
      <c r="BH27" s="5"/>
      <c r="BI27" s="5"/>
      <c r="BJ27" s="5"/>
      <c r="BK27" s="6">
        <f>SUM(BK20:BK26)</f>
        <v>1199</v>
      </c>
      <c r="BL27" s="5"/>
      <c r="BO27" s="5">
        <v>0.7</v>
      </c>
      <c r="BP27" s="5"/>
      <c r="BQ27" s="5"/>
      <c r="BR27" s="5"/>
      <c r="BS27" s="5"/>
      <c r="BV27" s="5">
        <v>16</v>
      </c>
      <c r="BW27" s="5" t="s">
        <v>125</v>
      </c>
      <c r="BX27" s="5">
        <v>1604</v>
      </c>
      <c r="BY27" s="5">
        <v>1112</v>
      </c>
      <c r="BZ27" s="5"/>
      <c r="CC27">
        <v>16</v>
      </c>
      <c r="CD27" t="s">
        <v>253</v>
      </c>
      <c r="CE27">
        <v>1552</v>
      </c>
      <c r="CF27">
        <v>110</v>
      </c>
      <c r="CJ27">
        <v>14</v>
      </c>
      <c r="CK27" t="s">
        <v>120</v>
      </c>
      <c r="CL27">
        <v>1757</v>
      </c>
      <c r="CM27">
        <v>1059</v>
      </c>
      <c r="CQ27" s="5">
        <v>16</v>
      </c>
      <c r="CR27" s="5" t="s">
        <v>253</v>
      </c>
      <c r="CS27" s="5">
        <v>1552</v>
      </c>
      <c r="CT27" s="5">
        <v>55</v>
      </c>
      <c r="CU27" s="5"/>
      <c r="CX27">
        <v>11</v>
      </c>
      <c r="CY27" t="s">
        <v>228</v>
      </c>
      <c r="CZ27">
        <v>1594</v>
      </c>
      <c r="DA27">
        <v>64</v>
      </c>
      <c r="DD27">
        <v>8</v>
      </c>
      <c r="DE27" t="s">
        <v>119</v>
      </c>
      <c r="DF27">
        <v>1455</v>
      </c>
      <c r="DG27">
        <v>148</v>
      </c>
      <c r="DL27">
        <v>12</v>
      </c>
      <c r="DM27" t="s">
        <v>119</v>
      </c>
      <c r="DN27">
        <v>1597</v>
      </c>
      <c r="DO27">
        <v>101</v>
      </c>
      <c r="DS27">
        <v>8</v>
      </c>
      <c r="DT27" t="s">
        <v>122</v>
      </c>
      <c r="DU27">
        <v>1791</v>
      </c>
      <c r="DV27">
        <v>8</v>
      </c>
    </row>
    <row r="28" spans="2:133" x14ac:dyDescent="0.25">
      <c r="B28" s="5"/>
      <c r="C28" s="5"/>
      <c r="D28" s="5"/>
      <c r="E28" s="6">
        <f>SUM(E11:E27)</f>
        <v>13262</v>
      </c>
      <c r="F28" s="5"/>
      <c r="H28" s="6"/>
      <c r="I28" s="6"/>
      <c r="J28" s="6"/>
      <c r="K28" s="35">
        <f>SUM(K12:K27)</f>
        <v>4442</v>
      </c>
      <c r="L28" s="6"/>
      <c r="P28" s="5">
        <v>19</v>
      </c>
      <c r="Q28" s="16" t="s">
        <v>121</v>
      </c>
      <c r="R28" s="11">
        <v>1508</v>
      </c>
      <c r="S28" s="15">
        <v>840</v>
      </c>
      <c r="T28" s="5"/>
      <c r="X28" s="5">
        <v>19</v>
      </c>
      <c r="Y28" s="16" t="s">
        <v>120</v>
      </c>
      <c r="Z28" s="11">
        <v>1410</v>
      </c>
      <c r="AA28" s="15">
        <v>95</v>
      </c>
      <c r="AB28" s="5"/>
      <c r="AF28" s="5">
        <v>19</v>
      </c>
      <c r="AG28" s="16" t="s">
        <v>120</v>
      </c>
      <c r="AH28" s="11">
        <v>1410</v>
      </c>
      <c r="AI28" s="15">
        <v>92</v>
      </c>
      <c r="AJ28" s="5"/>
      <c r="AM28" s="5">
        <v>19</v>
      </c>
      <c r="AN28" s="5" t="s">
        <v>120</v>
      </c>
      <c r="AO28" s="5">
        <v>1410</v>
      </c>
      <c r="AP28" s="5">
        <v>92</v>
      </c>
      <c r="AQ28" s="5"/>
      <c r="AT28" s="5">
        <v>19</v>
      </c>
      <c r="AU28" s="5" t="s">
        <v>119</v>
      </c>
      <c r="AV28" s="5">
        <v>1568</v>
      </c>
      <c r="AW28" s="5">
        <v>2035</v>
      </c>
      <c r="AX28" s="5"/>
      <c r="BA28" s="5">
        <v>21</v>
      </c>
      <c r="BB28" s="5" t="s">
        <v>119</v>
      </c>
      <c r="BC28" s="5">
        <v>1536</v>
      </c>
      <c r="BD28" s="5">
        <v>76</v>
      </c>
      <c r="BE28" s="5"/>
      <c r="BH28" s="5">
        <v>0.7</v>
      </c>
      <c r="BI28" s="5"/>
      <c r="BJ28" s="5"/>
      <c r="BK28" s="5"/>
      <c r="BL28" s="5"/>
      <c r="BO28" s="5">
        <v>19</v>
      </c>
      <c r="BP28" s="5" t="s">
        <v>279</v>
      </c>
      <c r="BQ28" s="5">
        <v>1455</v>
      </c>
      <c r="BR28" s="5">
        <v>165</v>
      </c>
      <c r="BS28" s="5"/>
      <c r="BV28" s="5">
        <v>17</v>
      </c>
      <c r="BW28" s="5" t="s">
        <v>253</v>
      </c>
      <c r="BX28" s="5">
        <v>1552</v>
      </c>
      <c r="BY28" s="5">
        <v>110</v>
      </c>
      <c r="BZ28" s="5"/>
      <c r="CC28">
        <v>17</v>
      </c>
      <c r="CD28" t="s">
        <v>228</v>
      </c>
      <c r="CE28">
        <v>1594</v>
      </c>
      <c r="CF28">
        <v>64</v>
      </c>
      <c r="CJ28">
        <v>15</v>
      </c>
      <c r="CK28" t="s">
        <v>119</v>
      </c>
      <c r="CL28">
        <v>1709</v>
      </c>
      <c r="CM28">
        <v>365</v>
      </c>
      <c r="CQ28" s="5">
        <v>17</v>
      </c>
      <c r="CR28" s="5" t="s">
        <v>125</v>
      </c>
      <c r="CS28" s="5">
        <v>1604</v>
      </c>
      <c r="CT28" s="5">
        <v>963</v>
      </c>
      <c r="CU28" s="5"/>
      <c r="CX28">
        <v>12</v>
      </c>
      <c r="CY28" t="s">
        <v>119</v>
      </c>
      <c r="CZ28">
        <v>1597</v>
      </c>
      <c r="DA28">
        <v>101</v>
      </c>
      <c r="DG28">
        <f>SUM(DG27)</f>
        <v>148</v>
      </c>
      <c r="DL28">
        <v>13</v>
      </c>
      <c r="DM28" t="s">
        <v>118</v>
      </c>
      <c r="DN28">
        <v>1866</v>
      </c>
      <c r="DO28">
        <v>405</v>
      </c>
      <c r="DV28">
        <f>SUM(DV26:DV27)</f>
        <v>38</v>
      </c>
      <c r="DZ28">
        <v>0.45</v>
      </c>
    </row>
    <row r="29" spans="2:133" x14ac:dyDescent="0.25">
      <c r="B29" s="5" t="s">
        <v>126</v>
      </c>
      <c r="C29" s="5"/>
      <c r="D29" s="5"/>
      <c r="E29" s="5" t="s">
        <v>92</v>
      </c>
      <c r="F29" s="5"/>
      <c r="H29" s="6" t="s">
        <v>126</v>
      </c>
      <c r="I29" s="6" t="s">
        <v>92</v>
      </c>
      <c r="J29" s="6"/>
      <c r="K29" s="35"/>
      <c r="L29" s="6"/>
      <c r="P29" s="5">
        <v>20</v>
      </c>
      <c r="Q29" s="16" t="s">
        <v>122</v>
      </c>
      <c r="R29" s="11">
        <v>1499</v>
      </c>
      <c r="S29" s="15">
        <v>132</v>
      </c>
      <c r="T29" s="5"/>
      <c r="X29" s="5">
        <v>20</v>
      </c>
      <c r="Y29" s="16" t="s">
        <v>119</v>
      </c>
      <c r="Z29" s="11">
        <v>1524</v>
      </c>
      <c r="AA29" s="15">
        <v>1290</v>
      </c>
      <c r="AB29" s="5"/>
      <c r="AF29" s="5">
        <v>20</v>
      </c>
      <c r="AG29" s="16" t="s">
        <v>119</v>
      </c>
      <c r="AH29" s="11">
        <v>1536</v>
      </c>
      <c r="AI29" s="15">
        <v>119</v>
      </c>
      <c r="AJ29" s="5"/>
      <c r="AM29" s="5">
        <v>20</v>
      </c>
      <c r="AN29" s="5" t="s">
        <v>119</v>
      </c>
      <c r="AO29" s="5">
        <v>1536</v>
      </c>
      <c r="AP29" s="5">
        <v>82</v>
      </c>
      <c r="AQ29" s="5"/>
      <c r="AT29" s="5">
        <v>20</v>
      </c>
      <c r="AU29" s="5" t="s">
        <v>119</v>
      </c>
      <c r="AV29" s="5">
        <v>1537</v>
      </c>
      <c r="AW29" s="5">
        <v>49</v>
      </c>
      <c r="AX29" s="5"/>
      <c r="BA29" s="5">
        <v>22</v>
      </c>
      <c r="BB29" s="5" t="s">
        <v>123</v>
      </c>
      <c r="BC29" s="5">
        <v>1559</v>
      </c>
      <c r="BD29" s="5">
        <v>333</v>
      </c>
      <c r="BE29" s="5"/>
      <c r="BH29" s="5">
        <v>20</v>
      </c>
      <c r="BI29" s="5" t="s">
        <v>279</v>
      </c>
      <c r="BJ29" s="5">
        <v>1455</v>
      </c>
      <c r="BK29" s="5">
        <v>116</v>
      </c>
      <c r="BL29" s="5"/>
      <c r="BO29" s="5">
        <v>20</v>
      </c>
      <c r="BP29" s="5" t="s">
        <v>119</v>
      </c>
      <c r="BQ29" s="5">
        <v>1597</v>
      </c>
      <c r="BR29" s="5">
        <v>110</v>
      </c>
      <c r="BS29" s="5"/>
      <c r="BV29" s="5"/>
      <c r="BW29" s="5"/>
      <c r="BX29" s="5"/>
      <c r="BY29" s="5">
        <f>SUM(BY25:BY28)</f>
        <v>1393</v>
      </c>
      <c r="BZ29" s="5"/>
      <c r="CF29">
        <v>1387</v>
      </c>
      <c r="CJ29">
        <v>16</v>
      </c>
      <c r="CK29" t="s">
        <v>119</v>
      </c>
      <c r="CL29">
        <v>1613</v>
      </c>
      <c r="CM29">
        <v>110</v>
      </c>
      <c r="CQ29" s="5"/>
      <c r="CR29" s="5"/>
      <c r="CS29" s="5"/>
      <c r="CT29" s="5">
        <f>SUM(CT25:CT28)</f>
        <v>1183</v>
      </c>
      <c r="CU29" s="5"/>
      <c r="CX29">
        <v>13</v>
      </c>
      <c r="CY29" t="s">
        <v>253</v>
      </c>
      <c r="CZ29">
        <v>1522</v>
      </c>
      <c r="DA29">
        <v>55</v>
      </c>
      <c r="DL29">
        <v>14</v>
      </c>
      <c r="DM29" t="s">
        <v>228</v>
      </c>
      <c r="DN29">
        <v>1594</v>
      </c>
      <c r="DO29">
        <v>64</v>
      </c>
      <c r="DZ29">
        <v>11</v>
      </c>
      <c r="EA29" t="s">
        <v>118</v>
      </c>
      <c r="EB29">
        <v>1399</v>
      </c>
      <c r="EC29">
        <v>836</v>
      </c>
    </row>
    <row r="30" spans="2:133" x14ac:dyDescent="0.25">
      <c r="B30" s="5">
        <v>21</v>
      </c>
      <c r="C30" s="5" t="s">
        <v>125</v>
      </c>
      <c r="D30" s="5">
        <v>1351</v>
      </c>
      <c r="E30" s="5">
        <v>675</v>
      </c>
      <c r="F30" s="5"/>
      <c r="H30" s="5">
        <v>21</v>
      </c>
      <c r="I30" s="5" t="s">
        <v>227</v>
      </c>
      <c r="J30" s="5">
        <v>1480</v>
      </c>
      <c r="K30" s="21">
        <v>440</v>
      </c>
      <c r="L30" s="5"/>
      <c r="P30" s="5">
        <v>21</v>
      </c>
      <c r="Q30" s="16" t="s">
        <v>206</v>
      </c>
      <c r="R30" s="11">
        <v>1412</v>
      </c>
      <c r="S30" s="15">
        <v>1717</v>
      </c>
      <c r="T30" s="5"/>
      <c r="X30" s="5">
        <v>21</v>
      </c>
      <c r="Y30" s="16" t="s">
        <v>121</v>
      </c>
      <c r="Z30" s="11">
        <v>1508</v>
      </c>
      <c r="AA30" s="15">
        <v>744</v>
      </c>
      <c r="AB30" s="5"/>
      <c r="AF30" s="5">
        <v>21</v>
      </c>
      <c r="AG30" s="16" t="s">
        <v>119</v>
      </c>
      <c r="AH30" s="11">
        <v>1537</v>
      </c>
      <c r="AI30" s="15">
        <v>49</v>
      </c>
      <c r="AJ30" s="5"/>
      <c r="AM30" s="5">
        <v>21</v>
      </c>
      <c r="AN30" s="5" t="s">
        <v>119</v>
      </c>
      <c r="AO30" s="5">
        <v>1537</v>
      </c>
      <c r="AP30" s="5">
        <v>49</v>
      </c>
      <c r="AQ30" s="5"/>
      <c r="AT30" s="5">
        <v>21</v>
      </c>
      <c r="AU30" s="5" t="s">
        <v>119</v>
      </c>
      <c r="AV30" s="5">
        <v>1536</v>
      </c>
      <c r="AW30" s="5">
        <v>108</v>
      </c>
      <c r="AX30" s="5"/>
      <c r="BA30" s="5">
        <v>23</v>
      </c>
      <c r="BB30" s="5" t="s">
        <v>120</v>
      </c>
      <c r="BC30" s="5">
        <v>1410</v>
      </c>
      <c r="BD30" s="5">
        <v>52</v>
      </c>
      <c r="BE30" s="5"/>
      <c r="BH30" s="5">
        <v>21</v>
      </c>
      <c r="BI30" s="5" t="s">
        <v>119</v>
      </c>
      <c r="BJ30" s="5">
        <v>1597</v>
      </c>
      <c r="BK30" s="5">
        <v>107</v>
      </c>
      <c r="BL30" s="5"/>
      <c r="BO30" s="5">
        <v>21</v>
      </c>
      <c r="BP30" s="5" t="s">
        <v>253</v>
      </c>
      <c r="BQ30" s="5">
        <v>1552</v>
      </c>
      <c r="BR30" s="5">
        <v>112</v>
      </c>
      <c r="BS30" s="5"/>
      <c r="BV30" s="5">
        <v>0.28000000000000003</v>
      </c>
      <c r="BW30" s="5"/>
      <c r="BX30" s="5"/>
      <c r="BY30" s="5"/>
      <c r="BZ30" s="5"/>
      <c r="CC30">
        <v>0.28000000000000003</v>
      </c>
      <c r="CJ30">
        <v>17</v>
      </c>
      <c r="CK30" t="s">
        <v>119</v>
      </c>
      <c r="CL30">
        <v>1650</v>
      </c>
      <c r="CM30">
        <v>92</v>
      </c>
      <c r="CQ30" s="5" t="s">
        <v>339</v>
      </c>
      <c r="CR30" s="5"/>
      <c r="CS30" s="5"/>
      <c r="CT30" s="5"/>
      <c r="CU30" s="5"/>
      <c r="DA30">
        <f>SUM(DA26:DA29)</f>
        <v>1183</v>
      </c>
      <c r="DD30">
        <v>0.7</v>
      </c>
      <c r="DL30">
        <v>15</v>
      </c>
      <c r="DM30" t="s">
        <v>125</v>
      </c>
      <c r="DN30">
        <v>1604</v>
      </c>
      <c r="DO30">
        <v>542</v>
      </c>
      <c r="DS30">
        <v>0.45</v>
      </c>
      <c r="EC30">
        <v>836</v>
      </c>
    </row>
    <row r="31" spans="2:133" x14ac:dyDescent="0.25">
      <c r="B31" s="5"/>
      <c r="C31" s="5"/>
      <c r="D31" s="5"/>
      <c r="E31" s="5"/>
      <c r="F31" s="5"/>
      <c r="H31" s="5"/>
      <c r="I31" s="5"/>
      <c r="J31" s="5"/>
      <c r="K31" s="21"/>
      <c r="L31" s="5"/>
      <c r="P31" s="5"/>
      <c r="Q31" s="16"/>
      <c r="R31" s="11"/>
      <c r="S31" s="15"/>
      <c r="T31" s="5"/>
      <c r="X31" s="5"/>
      <c r="Y31" s="16"/>
      <c r="Z31" s="11"/>
      <c r="AA31" s="15"/>
      <c r="AB31" s="5"/>
      <c r="AF31" s="5"/>
      <c r="AG31" s="16"/>
      <c r="AH31" s="11"/>
      <c r="AI31" s="15"/>
      <c r="AJ31" s="5"/>
      <c r="AM31" s="5"/>
      <c r="AN31" s="5"/>
      <c r="AO31" s="5"/>
      <c r="AP31" s="5"/>
      <c r="AQ31" s="5"/>
      <c r="AT31" s="5"/>
      <c r="AU31" s="5"/>
      <c r="AV31" s="5"/>
      <c r="AW31" s="5"/>
      <c r="AX31" s="5"/>
      <c r="BA31" s="5"/>
      <c r="BB31" s="5"/>
      <c r="BC31" s="5"/>
      <c r="BD31" s="5"/>
      <c r="BE31" s="5"/>
      <c r="BH31" s="5">
        <v>22</v>
      </c>
      <c r="BI31" s="5" t="s">
        <v>253</v>
      </c>
      <c r="BJ31" s="5">
        <v>1552</v>
      </c>
      <c r="BK31" s="5">
        <v>799</v>
      </c>
      <c r="BL31" s="5"/>
      <c r="BO31" s="5">
        <v>22</v>
      </c>
      <c r="BP31" s="5" t="s">
        <v>228</v>
      </c>
      <c r="BQ31" s="5">
        <v>1594</v>
      </c>
      <c r="BR31" s="5">
        <v>509</v>
      </c>
      <c r="BS31" s="5"/>
      <c r="BV31" s="5">
        <v>18</v>
      </c>
      <c r="BW31" s="5" t="s">
        <v>119</v>
      </c>
      <c r="BX31" s="5">
        <v>1693</v>
      </c>
      <c r="BY31" s="5">
        <v>752</v>
      </c>
      <c r="BZ31" s="5"/>
      <c r="CC31">
        <v>18</v>
      </c>
      <c r="CD31" t="s">
        <v>119</v>
      </c>
      <c r="CE31">
        <v>1693</v>
      </c>
      <c r="CF31">
        <v>380</v>
      </c>
      <c r="CJ31">
        <v>18</v>
      </c>
      <c r="CK31" t="s">
        <v>118</v>
      </c>
      <c r="CL31">
        <v>1734</v>
      </c>
      <c r="CM31">
        <v>66</v>
      </c>
      <c r="CQ31" s="5">
        <v>18</v>
      </c>
      <c r="CR31" s="5" t="s">
        <v>119</v>
      </c>
      <c r="CS31" s="5">
        <v>1788</v>
      </c>
      <c r="CT31" s="5">
        <v>1950</v>
      </c>
      <c r="CU31" s="5"/>
      <c r="DD31">
        <v>9</v>
      </c>
      <c r="DE31" t="s">
        <v>125</v>
      </c>
      <c r="DF31">
        <v>1604</v>
      </c>
      <c r="DG31">
        <v>963</v>
      </c>
      <c r="DO31">
        <f>SUM(DO26:DO30)</f>
        <v>1167</v>
      </c>
      <c r="DS31">
        <v>9</v>
      </c>
      <c r="DT31" t="s">
        <v>119</v>
      </c>
      <c r="DU31">
        <v>1257</v>
      </c>
      <c r="DV31">
        <v>80</v>
      </c>
    </row>
    <row r="32" spans="2:133" x14ac:dyDescent="0.25">
      <c r="B32" s="5">
        <v>22</v>
      </c>
      <c r="C32" s="5" t="s">
        <v>120</v>
      </c>
      <c r="D32" s="5">
        <v>1364</v>
      </c>
      <c r="E32" s="5">
        <v>899</v>
      </c>
      <c r="F32" s="5"/>
      <c r="H32" s="5">
        <v>22</v>
      </c>
      <c r="I32" s="5" t="s">
        <v>122</v>
      </c>
      <c r="J32" s="5">
        <v>1499</v>
      </c>
      <c r="K32" s="21">
        <v>566</v>
      </c>
      <c r="L32" s="5"/>
      <c r="P32" s="5"/>
      <c r="Q32" s="16"/>
      <c r="R32" s="11"/>
      <c r="S32" s="14">
        <f>SUM(S24:S30)</f>
        <v>3381</v>
      </c>
      <c r="T32" s="5"/>
      <c r="X32" s="5">
        <v>22</v>
      </c>
      <c r="Y32" s="16" t="s">
        <v>122</v>
      </c>
      <c r="Z32" s="11">
        <v>1499</v>
      </c>
      <c r="AA32" s="15">
        <v>94</v>
      </c>
      <c r="AB32" s="5"/>
      <c r="AF32" s="5">
        <v>23</v>
      </c>
      <c r="AG32" s="16" t="s">
        <v>121</v>
      </c>
      <c r="AH32" s="11">
        <v>1541</v>
      </c>
      <c r="AI32" s="15">
        <v>88</v>
      </c>
      <c r="AJ32" s="5"/>
      <c r="AM32" s="5">
        <v>22</v>
      </c>
      <c r="AN32" s="5" t="s">
        <v>125</v>
      </c>
      <c r="AO32" s="5">
        <v>1412</v>
      </c>
      <c r="AP32" s="5">
        <v>1318</v>
      </c>
      <c r="AQ32" s="5"/>
      <c r="AT32" s="5">
        <v>22</v>
      </c>
      <c r="AU32" s="5" t="s">
        <v>123</v>
      </c>
      <c r="AV32" s="5">
        <v>1559</v>
      </c>
      <c r="AW32" s="5">
        <v>333</v>
      </c>
      <c r="AX32" s="5"/>
      <c r="BA32" s="5">
        <v>25</v>
      </c>
      <c r="BB32" s="5" t="s">
        <v>251</v>
      </c>
      <c r="BC32" s="5">
        <v>1508</v>
      </c>
      <c r="BD32" s="5">
        <v>11</v>
      </c>
      <c r="BE32" s="5"/>
      <c r="BH32" s="5">
        <v>23</v>
      </c>
      <c r="BI32" s="5" t="s">
        <v>228</v>
      </c>
      <c r="BJ32" s="5">
        <v>1594</v>
      </c>
      <c r="BK32" s="5">
        <v>547</v>
      </c>
      <c r="BL32" s="5"/>
      <c r="BO32" s="5">
        <v>23</v>
      </c>
      <c r="BP32" s="5" t="s">
        <v>125</v>
      </c>
      <c r="BQ32" s="5">
        <v>1604</v>
      </c>
      <c r="BR32" s="5">
        <v>1112</v>
      </c>
      <c r="BS32" s="5"/>
      <c r="BV32" s="5">
        <v>19</v>
      </c>
      <c r="BW32" s="5" t="s">
        <v>119</v>
      </c>
      <c r="BX32" s="5">
        <v>1650</v>
      </c>
      <c r="BY32" s="5">
        <v>92</v>
      </c>
      <c r="BZ32" s="5"/>
      <c r="CC32">
        <v>19</v>
      </c>
      <c r="CD32" t="s">
        <v>119</v>
      </c>
      <c r="CE32">
        <v>1619</v>
      </c>
      <c r="CF32">
        <v>100</v>
      </c>
      <c r="CJ32">
        <v>19</v>
      </c>
      <c r="CK32" t="s">
        <v>253</v>
      </c>
      <c r="CL32">
        <v>1540</v>
      </c>
      <c r="CM32">
        <v>92</v>
      </c>
      <c r="CQ32" s="5"/>
      <c r="CR32" s="5"/>
      <c r="CS32" s="5"/>
      <c r="CT32" s="5">
        <f>SUM(CT31)</f>
        <v>1950</v>
      </c>
      <c r="CU32" s="5"/>
      <c r="CX32">
        <v>0.4</v>
      </c>
      <c r="DD32">
        <v>10</v>
      </c>
      <c r="DE32" t="s">
        <v>119</v>
      </c>
      <c r="DF32">
        <v>1597</v>
      </c>
      <c r="DG32">
        <v>101</v>
      </c>
      <c r="DS32">
        <v>10</v>
      </c>
      <c r="DT32" t="s">
        <v>120</v>
      </c>
      <c r="DU32">
        <v>1435</v>
      </c>
      <c r="DV32">
        <v>50</v>
      </c>
      <c r="DZ32">
        <v>0.4</v>
      </c>
    </row>
    <row r="33" spans="2:133" x14ac:dyDescent="0.25">
      <c r="B33" s="5"/>
      <c r="C33" s="5"/>
      <c r="D33" s="5"/>
      <c r="E33" s="6">
        <f>SUM(E30:E32)</f>
        <v>1574</v>
      </c>
      <c r="F33" s="5"/>
      <c r="H33" s="5">
        <v>23</v>
      </c>
      <c r="I33" s="5" t="s">
        <v>120</v>
      </c>
      <c r="J33" s="5">
        <v>1414</v>
      </c>
      <c r="K33" s="21">
        <v>1058</v>
      </c>
      <c r="L33" s="5"/>
      <c r="P33" s="5"/>
      <c r="Q33" s="13">
        <v>0.7</v>
      </c>
      <c r="R33" s="11"/>
      <c r="S33" s="15"/>
      <c r="T33" s="5"/>
      <c r="X33" s="5">
        <v>23</v>
      </c>
      <c r="Y33" s="16" t="s">
        <v>206</v>
      </c>
      <c r="Z33" s="11">
        <v>1412</v>
      </c>
      <c r="AA33" s="15">
        <v>1717</v>
      </c>
      <c r="AB33" s="5"/>
      <c r="AF33" s="5">
        <v>24</v>
      </c>
      <c r="AG33" s="16" t="s">
        <v>118</v>
      </c>
      <c r="AH33" s="11"/>
      <c r="AI33" s="15">
        <v>31</v>
      </c>
      <c r="AJ33" s="5"/>
      <c r="AM33" s="5"/>
      <c r="AN33" s="5"/>
      <c r="AO33" s="5"/>
      <c r="AP33" s="6">
        <f>SUM(AP27:AP32)</f>
        <v>1634</v>
      </c>
      <c r="AQ33" s="5"/>
      <c r="AT33" s="5">
        <v>23</v>
      </c>
      <c r="AU33" s="5" t="s">
        <v>120</v>
      </c>
      <c r="AV33" s="5">
        <v>1410</v>
      </c>
      <c r="AW33" s="5">
        <v>52</v>
      </c>
      <c r="AX33" s="5"/>
      <c r="BA33" s="5">
        <v>26</v>
      </c>
      <c r="BB33" s="5" t="s">
        <v>252</v>
      </c>
      <c r="BC33" s="5">
        <v>1577</v>
      </c>
      <c r="BD33" s="5">
        <v>194</v>
      </c>
      <c r="BE33" s="5"/>
      <c r="BH33" s="5">
        <v>24</v>
      </c>
      <c r="BI33" s="5" t="s">
        <v>125</v>
      </c>
      <c r="BJ33" s="5">
        <v>1604</v>
      </c>
      <c r="BK33" s="5">
        <v>1085</v>
      </c>
      <c r="BL33" s="5"/>
      <c r="BO33" s="5"/>
      <c r="BP33" s="5"/>
      <c r="BQ33" s="5"/>
      <c r="BR33" s="6">
        <f>SUM(BR28:BR32)</f>
        <v>2008</v>
      </c>
      <c r="BS33" s="5"/>
      <c r="BV33" s="5">
        <v>20</v>
      </c>
      <c r="BW33" s="5" t="s">
        <v>119</v>
      </c>
      <c r="BX33" s="5">
        <v>1613</v>
      </c>
      <c r="BY33" s="5">
        <v>173</v>
      </c>
      <c r="BZ33" s="5"/>
      <c r="CC33">
        <v>20</v>
      </c>
      <c r="CD33" t="s">
        <v>119</v>
      </c>
      <c r="CE33">
        <v>1613</v>
      </c>
      <c r="CF33">
        <v>173</v>
      </c>
      <c r="CM33">
        <f>SUM(CM27:CM32)</f>
        <v>1784</v>
      </c>
      <c r="CQ33" s="5">
        <v>0.28000000000000003</v>
      </c>
      <c r="CR33" s="5"/>
      <c r="CS33" s="5"/>
      <c r="CT33" s="5"/>
      <c r="CU33" s="5"/>
      <c r="CX33">
        <v>14</v>
      </c>
      <c r="CY33" t="s">
        <v>119</v>
      </c>
      <c r="CZ33">
        <v>1788</v>
      </c>
      <c r="DA33">
        <v>1950</v>
      </c>
      <c r="DD33">
        <v>11</v>
      </c>
      <c r="DE33" t="s">
        <v>228</v>
      </c>
      <c r="DF33">
        <v>1594</v>
      </c>
      <c r="DG33">
        <v>64</v>
      </c>
      <c r="DL33">
        <v>0.4</v>
      </c>
      <c r="DS33">
        <v>11</v>
      </c>
      <c r="DT33" t="s">
        <v>118</v>
      </c>
      <c r="DU33">
        <v>1399</v>
      </c>
      <c r="DV33">
        <v>837</v>
      </c>
      <c r="DZ33">
        <v>12</v>
      </c>
      <c r="EA33" t="s">
        <v>228</v>
      </c>
      <c r="EC33">
        <v>197</v>
      </c>
    </row>
    <row r="34" spans="2:133" x14ac:dyDescent="0.25">
      <c r="B34" s="5">
        <v>0.7</v>
      </c>
      <c r="C34" s="5"/>
      <c r="D34" s="5"/>
      <c r="E34" s="5"/>
      <c r="F34" s="5"/>
      <c r="H34" s="5">
        <v>24</v>
      </c>
      <c r="I34" s="5" t="s">
        <v>120</v>
      </c>
      <c r="J34" s="5">
        <v>1364</v>
      </c>
      <c r="K34" s="21">
        <v>366</v>
      </c>
      <c r="L34" s="5"/>
      <c r="P34" s="5">
        <v>22</v>
      </c>
      <c r="Q34" s="16" t="s">
        <v>125</v>
      </c>
      <c r="R34" s="11">
        <v>1376</v>
      </c>
      <c r="S34" s="15">
        <v>656</v>
      </c>
      <c r="T34" s="5"/>
      <c r="X34" s="5"/>
      <c r="Y34" s="16"/>
      <c r="Z34" s="11"/>
      <c r="AA34" s="14">
        <f>SUM(AA27:AA33)</f>
        <v>4050</v>
      </c>
      <c r="AB34" s="5"/>
      <c r="AF34" s="5">
        <v>25</v>
      </c>
      <c r="AG34" s="16" t="s">
        <v>206</v>
      </c>
      <c r="AH34" s="11">
        <v>1412</v>
      </c>
      <c r="AI34" s="15">
        <v>1672</v>
      </c>
      <c r="AJ34" s="5"/>
      <c r="AM34" s="5">
        <v>0.6</v>
      </c>
      <c r="AN34" s="5"/>
      <c r="AO34" s="5"/>
      <c r="AP34" s="5"/>
      <c r="AQ34" s="5"/>
      <c r="AT34" s="5">
        <v>24</v>
      </c>
      <c r="AU34" s="5" t="s">
        <v>118</v>
      </c>
      <c r="AV34" s="5">
        <v>1481</v>
      </c>
      <c r="AW34" s="5">
        <v>31</v>
      </c>
      <c r="AX34" s="5"/>
      <c r="BA34" s="5">
        <v>27</v>
      </c>
      <c r="BB34" s="5" t="s">
        <v>125</v>
      </c>
      <c r="BC34" s="5">
        <v>1412</v>
      </c>
      <c r="BD34" s="5">
        <v>756</v>
      </c>
      <c r="BE34" s="5"/>
      <c r="BH34" s="5"/>
      <c r="BI34" s="5"/>
      <c r="BJ34" s="5"/>
      <c r="BK34" s="6">
        <f>SUM(BK29:BK33)</f>
        <v>2654</v>
      </c>
      <c r="BL34" s="5"/>
      <c r="BO34" s="5">
        <v>0.28000000000000003</v>
      </c>
      <c r="BP34" s="5"/>
      <c r="BQ34" s="5"/>
      <c r="BR34" s="5"/>
      <c r="BS34" s="5"/>
      <c r="BV34" s="5">
        <v>21</v>
      </c>
      <c r="BW34" s="5" t="s">
        <v>119</v>
      </c>
      <c r="BX34" s="5">
        <v>1680</v>
      </c>
      <c r="BY34" s="5">
        <v>130</v>
      </c>
      <c r="BZ34" s="5"/>
      <c r="CC34">
        <v>21</v>
      </c>
      <c r="CD34" t="s">
        <v>119</v>
      </c>
      <c r="CE34">
        <v>1709</v>
      </c>
      <c r="CF34">
        <v>2035</v>
      </c>
      <c r="CJ34">
        <v>0.24</v>
      </c>
      <c r="CQ34" s="5">
        <v>19</v>
      </c>
      <c r="CR34" s="5" t="s">
        <v>119</v>
      </c>
      <c r="CS34" s="5">
        <v>1650</v>
      </c>
      <c r="CT34" s="5">
        <v>92</v>
      </c>
      <c r="CU34" s="5"/>
      <c r="DA34">
        <v>1950</v>
      </c>
      <c r="DD34">
        <v>12</v>
      </c>
      <c r="DE34" t="s">
        <v>121</v>
      </c>
      <c r="DF34">
        <v>1522</v>
      </c>
      <c r="DG34">
        <v>55</v>
      </c>
      <c r="DL34">
        <v>16</v>
      </c>
      <c r="DM34" t="s">
        <v>119</v>
      </c>
      <c r="DN34">
        <v>1788</v>
      </c>
      <c r="DO34">
        <v>1950</v>
      </c>
      <c r="DV34">
        <f>SUM(DV31:DV33)</f>
        <v>967</v>
      </c>
      <c r="DZ34">
        <v>13</v>
      </c>
      <c r="EA34" t="s">
        <v>119</v>
      </c>
      <c r="EC34">
        <v>382</v>
      </c>
    </row>
    <row r="35" spans="2:133" x14ac:dyDescent="0.25">
      <c r="B35" s="5">
        <v>23</v>
      </c>
      <c r="C35" s="5" t="s">
        <v>125</v>
      </c>
      <c r="D35" s="5">
        <v>1376</v>
      </c>
      <c r="E35" s="5">
        <v>771</v>
      </c>
      <c r="F35" s="5"/>
      <c r="H35" s="5">
        <v>25</v>
      </c>
      <c r="I35" s="5" t="s">
        <v>125</v>
      </c>
      <c r="J35" s="5">
        <v>1412</v>
      </c>
      <c r="K35" s="21">
        <v>1717</v>
      </c>
      <c r="L35" s="5"/>
      <c r="P35" s="5"/>
      <c r="Q35" s="16"/>
      <c r="R35" s="11"/>
      <c r="S35" s="15"/>
      <c r="T35" s="5"/>
      <c r="X35" s="5"/>
      <c r="Y35" s="13">
        <v>0.7</v>
      </c>
      <c r="Z35" s="11"/>
      <c r="AA35" s="15"/>
      <c r="AB35" s="5"/>
      <c r="AF35" s="5"/>
      <c r="AG35" s="16"/>
      <c r="AH35" s="11"/>
      <c r="AI35" s="14">
        <f>SUM(AI27:AI34)</f>
        <v>2144</v>
      </c>
      <c r="AJ35" s="5"/>
      <c r="AM35" s="5">
        <v>23</v>
      </c>
      <c r="AN35" s="5" t="s">
        <v>119</v>
      </c>
      <c r="AO35" s="5">
        <v>1445</v>
      </c>
      <c r="AP35" s="5">
        <v>161</v>
      </c>
      <c r="AQ35" s="5"/>
      <c r="AT35" s="5">
        <v>25</v>
      </c>
      <c r="AU35" s="5" t="s">
        <v>251</v>
      </c>
      <c r="AV35" s="5">
        <v>1508</v>
      </c>
      <c r="AW35" s="5">
        <v>78</v>
      </c>
      <c r="AX35" s="5"/>
      <c r="BA35" s="5"/>
      <c r="BB35" s="5"/>
      <c r="BC35" s="5"/>
      <c r="BD35" s="6">
        <f>SUM(BD25:BD34)</f>
        <v>1527</v>
      </c>
      <c r="BE35" s="5"/>
      <c r="BH35" s="5">
        <v>0.28000000000000003</v>
      </c>
      <c r="BI35" s="5"/>
      <c r="BJ35" s="5"/>
      <c r="BK35" s="5"/>
      <c r="BL35" s="5"/>
      <c r="BO35" s="5">
        <v>24</v>
      </c>
      <c r="BP35" s="5" t="s">
        <v>119</v>
      </c>
      <c r="BQ35" s="5">
        <v>1617</v>
      </c>
      <c r="BR35" s="5">
        <v>831</v>
      </c>
      <c r="BS35" s="5"/>
      <c r="BV35" s="5">
        <v>22</v>
      </c>
      <c r="BW35" s="5" t="s">
        <v>119</v>
      </c>
      <c r="BX35" s="5">
        <v>1619</v>
      </c>
      <c r="BY35" s="5">
        <v>100</v>
      </c>
      <c r="BZ35" s="5"/>
      <c r="CC35">
        <v>22</v>
      </c>
      <c r="CD35" t="s">
        <v>119</v>
      </c>
      <c r="CE35">
        <v>1650</v>
      </c>
      <c r="CF35">
        <v>92</v>
      </c>
      <c r="CJ35">
        <v>20</v>
      </c>
      <c r="CK35" t="s">
        <v>122</v>
      </c>
      <c r="CL35">
        <v>1516</v>
      </c>
      <c r="CM35">
        <v>2882</v>
      </c>
      <c r="CQ35" s="5">
        <v>20</v>
      </c>
      <c r="CR35" s="5" t="s">
        <v>119</v>
      </c>
      <c r="CS35" s="5">
        <v>1771</v>
      </c>
      <c r="CT35" s="5">
        <v>346</v>
      </c>
      <c r="CU35" s="5"/>
      <c r="DG35">
        <f>SUM(DG31:DG34)</f>
        <v>1183</v>
      </c>
      <c r="EC35">
        <v>579</v>
      </c>
    </row>
    <row r="36" spans="2:133" x14ac:dyDescent="0.25">
      <c r="B36" s="5"/>
      <c r="C36" s="5"/>
      <c r="D36" s="5"/>
      <c r="E36" s="6">
        <f>E35</f>
        <v>771</v>
      </c>
      <c r="F36" s="5"/>
      <c r="H36" s="5">
        <v>26</v>
      </c>
      <c r="I36" s="5" t="s">
        <v>203</v>
      </c>
      <c r="J36" s="5">
        <v>1455</v>
      </c>
      <c r="K36" s="21">
        <v>15</v>
      </c>
      <c r="L36" s="5"/>
      <c r="P36" s="5"/>
      <c r="Q36" s="13">
        <v>0.28000000000000003</v>
      </c>
      <c r="R36" s="11"/>
      <c r="S36" s="15"/>
      <c r="T36" s="5"/>
      <c r="X36" s="5">
        <v>24</v>
      </c>
      <c r="Y36" s="16" t="s">
        <v>125</v>
      </c>
      <c r="Z36" s="11">
        <v>1376</v>
      </c>
      <c r="AA36" s="15">
        <v>656</v>
      </c>
      <c r="AB36" s="5"/>
      <c r="AF36" s="5"/>
      <c r="AG36" s="13">
        <v>0.7</v>
      </c>
      <c r="AH36" s="11"/>
      <c r="AI36" s="15"/>
      <c r="AJ36" s="5"/>
      <c r="AM36" s="5">
        <v>0.7</v>
      </c>
      <c r="AN36" s="5"/>
      <c r="AO36" s="5"/>
      <c r="AP36" s="5"/>
      <c r="AQ36" s="5"/>
      <c r="AT36" s="5">
        <v>26</v>
      </c>
      <c r="AU36" s="5" t="s">
        <v>252</v>
      </c>
      <c r="AV36" s="5">
        <v>1577</v>
      </c>
      <c r="AW36" s="5">
        <v>194</v>
      </c>
      <c r="AX36" s="5"/>
      <c r="BA36" s="5">
        <v>0.7</v>
      </c>
      <c r="BB36" s="5"/>
      <c r="BC36" s="5"/>
      <c r="BD36" s="5"/>
      <c r="BE36" s="5"/>
      <c r="BH36" s="5">
        <v>25</v>
      </c>
      <c r="BI36" s="5" t="s">
        <v>119</v>
      </c>
      <c r="BJ36" s="5">
        <v>1511</v>
      </c>
      <c r="BK36" s="5">
        <v>595</v>
      </c>
      <c r="BL36" s="5"/>
      <c r="BO36" s="5">
        <v>25</v>
      </c>
      <c r="BP36" s="5" t="s">
        <v>119</v>
      </c>
      <c r="BQ36" s="5">
        <v>1619</v>
      </c>
      <c r="BR36" s="5">
        <v>1127</v>
      </c>
      <c r="BS36" s="5"/>
      <c r="BV36" s="5">
        <v>23</v>
      </c>
      <c r="BW36" s="5" t="s">
        <v>118</v>
      </c>
      <c r="BX36" s="5">
        <v>1699</v>
      </c>
      <c r="BY36" s="5">
        <v>542</v>
      </c>
      <c r="BZ36" s="5"/>
      <c r="CC36">
        <v>23</v>
      </c>
      <c r="CD36" t="s">
        <v>118</v>
      </c>
      <c r="CE36">
        <v>1734</v>
      </c>
      <c r="CF36">
        <v>892</v>
      </c>
      <c r="CJ36">
        <v>21</v>
      </c>
      <c r="CK36" t="s">
        <v>122</v>
      </c>
      <c r="CL36">
        <v>1544</v>
      </c>
      <c r="CM36">
        <v>545</v>
      </c>
      <c r="CQ36" s="5">
        <v>21</v>
      </c>
      <c r="CR36" s="5" t="s">
        <v>119</v>
      </c>
      <c r="CS36" s="5">
        <v>1795</v>
      </c>
      <c r="CT36" s="5">
        <v>3382</v>
      </c>
      <c r="CU36" s="5"/>
      <c r="CX36">
        <v>0.28000000000000003</v>
      </c>
      <c r="DS36">
        <v>0.4</v>
      </c>
    </row>
    <row r="37" spans="2:133" x14ac:dyDescent="0.25">
      <c r="B37" s="5"/>
      <c r="C37" s="5"/>
      <c r="D37" s="5"/>
      <c r="E37" s="6"/>
      <c r="F37" s="5"/>
      <c r="H37" s="5"/>
      <c r="I37" s="5"/>
      <c r="J37" s="5"/>
      <c r="K37" s="21"/>
      <c r="L37" s="5"/>
      <c r="P37" s="5"/>
      <c r="Q37" s="13"/>
      <c r="R37" s="11"/>
      <c r="S37" s="15"/>
      <c r="T37" s="5"/>
      <c r="X37" s="5"/>
      <c r="Y37" s="16"/>
      <c r="Z37" s="11"/>
      <c r="AA37" s="15"/>
      <c r="AB37" s="5"/>
      <c r="AF37" s="5"/>
      <c r="AG37" s="13"/>
      <c r="AH37" s="11"/>
      <c r="AI37" s="15"/>
      <c r="AJ37" s="5"/>
      <c r="AM37" s="5"/>
      <c r="AN37" s="5"/>
      <c r="AO37" s="5"/>
      <c r="AP37" s="5"/>
      <c r="AQ37" s="5"/>
      <c r="AT37" s="5"/>
      <c r="AU37" s="5"/>
      <c r="AV37" s="5"/>
      <c r="AW37" s="5"/>
      <c r="AX37" s="5"/>
      <c r="BA37" s="5"/>
      <c r="BB37" s="5"/>
      <c r="BC37" s="5"/>
      <c r="BD37" s="5"/>
      <c r="BE37" s="5"/>
      <c r="BH37" s="5">
        <v>26</v>
      </c>
      <c r="BI37" s="5" t="s">
        <v>119</v>
      </c>
      <c r="BJ37" s="5">
        <v>1618</v>
      </c>
      <c r="BK37" s="5">
        <v>3186</v>
      </c>
      <c r="BL37" s="5"/>
      <c r="BO37" s="5">
        <v>26</v>
      </c>
      <c r="BP37" s="5" t="s">
        <v>118</v>
      </c>
      <c r="BQ37" s="5">
        <v>1625</v>
      </c>
      <c r="BR37" s="5">
        <v>1585</v>
      </c>
      <c r="BS37" s="5"/>
      <c r="BV37" s="5">
        <v>24</v>
      </c>
      <c r="BW37" s="5" t="s">
        <v>118</v>
      </c>
      <c r="BX37" s="5">
        <v>1700</v>
      </c>
      <c r="BY37" s="5">
        <v>3393</v>
      </c>
      <c r="BZ37" s="5"/>
      <c r="CC37">
        <v>24</v>
      </c>
      <c r="CD37" t="s">
        <v>118</v>
      </c>
      <c r="CE37">
        <v>1700</v>
      </c>
      <c r="CF37">
        <v>595</v>
      </c>
      <c r="CJ37">
        <v>22</v>
      </c>
      <c r="CK37" t="s">
        <v>119</v>
      </c>
      <c r="CL37">
        <v>1716</v>
      </c>
      <c r="CM37">
        <v>178</v>
      </c>
      <c r="CQ37" s="5">
        <v>22</v>
      </c>
      <c r="CR37" s="5" t="s">
        <v>119</v>
      </c>
      <c r="CS37" s="5">
        <v>1613</v>
      </c>
      <c r="CT37" s="5">
        <v>110</v>
      </c>
      <c r="CU37" s="5"/>
      <c r="CX37">
        <v>15</v>
      </c>
      <c r="CY37" t="s">
        <v>119</v>
      </c>
      <c r="CZ37">
        <v>1619</v>
      </c>
      <c r="DA37">
        <v>100</v>
      </c>
      <c r="DD37">
        <v>0.4</v>
      </c>
      <c r="DL37">
        <v>0.28000000000000003</v>
      </c>
      <c r="DS37">
        <v>12</v>
      </c>
      <c r="DT37" t="s">
        <v>119</v>
      </c>
      <c r="DU37">
        <v>1906</v>
      </c>
      <c r="DV37">
        <v>378</v>
      </c>
      <c r="DZ37">
        <v>0.28000000000000003</v>
      </c>
    </row>
    <row r="38" spans="2:133" x14ac:dyDescent="0.25">
      <c r="B38" s="5" t="s">
        <v>127</v>
      </c>
      <c r="C38" s="5"/>
      <c r="D38" s="5"/>
      <c r="E38" s="5"/>
      <c r="F38" s="5"/>
      <c r="H38" s="6"/>
      <c r="I38" s="6"/>
      <c r="J38" s="6"/>
      <c r="K38" s="35">
        <f>SUM(K30:K36)</f>
        <v>4162</v>
      </c>
      <c r="L38" s="6"/>
      <c r="P38" s="5">
        <v>23</v>
      </c>
      <c r="Q38" s="16" t="s">
        <v>119</v>
      </c>
      <c r="R38" s="11">
        <v>1511</v>
      </c>
      <c r="S38" s="15">
        <v>3552</v>
      </c>
      <c r="T38" s="5"/>
      <c r="X38" s="5"/>
      <c r="Y38" s="16"/>
      <c r="Z38" s="11"/>
      <c r="AA38" s="15"/>
      <c r="AB38" s="5"/>
      <c r="AF38" s="5">
        <v>26</v>
      </c>
      <c r="AG38" s="16" t="s">
        <v>125</v>
      </c>
      <c r="AH38" s="11">
        <v>1376</v>
      </c>
      <c r="AI38" s="15">
        <v>656</v>
      </c>
      <c r="AJ38" s="5"/>
      <c r="AM38" s="5">
        <v>24</v>
      </c>
      <c r="AN38" s="5" t="s">
        <v>125</v>
      </c>
      <c r="AO38" s="5">
        <v>1376</v>
      </c>
      <c r="AP38" s="5">
        <v>656</v>
      </c>
      <c r="AQ38" s="5"/>
      <c r="AT38" s="5">
        <v>27</v>
      </c>
      <c r="AU38" s="5" t="s">
        <v>125</v>
      </c>
      <c r="AV38" s="5">
        <v>1412</v>
      </c>
      <c r="AW38" s="5">
        <v>1216</v>
      </c>
      <c r="AX38" s="5"/>
      <c r="BA38" s="5">
        <v>28</v>
      </c>
      <c r="BB38" s="5" t="s">
        <v>119</v>
      </c>
      <c r="BC38" s="5">
        <v>1455</v>
      </c>
      <c r="BD38" s="5">
        <v>161</v>
      </c>
      <c r="BE38" s="5"/>
      <c r="BH38" s="5">
        <v>27</v>
      </c>
      <c r="BI38" s="5" t="s">
        <v>118</v>
      </c>
      <c r="BJ38" s="5">
        <v>1555</v>
      </c>
      <c r="BK38" s="5">
        <v>1011</v>
      </c>
      <c r="BL38" s="5"/>
      <c r="BO38" s="5">
        <v>27</v>
      </c>
      <c r="BP38" s="5" t="s">
        <v>253</v>
      </c>
      <c r="BQ38" s="5">
        <v>1540</v>
      </c>
      <c r="BR38" s="5">
        <v>890</v>
      </c>
      <c r="BS38" s="5"/>
      <c r="BV38" s="5">
        <v>25</v>
      </c>
      <c r="BW38" s="5" t="s">
        <v>120</v>
      </c>
      <c r="BX38" s="5">
        <v>1620</v>
      </c>
      <c r="BY38" s="5">
        <v>244</v>
      </c>
      <c r="BZ38" s="5"/>
      <c r="CC38">
        <v>25</v>
      </c>
      <c r="CD38" t="s">
        <v>253</v>
      </c>
      <c r="CE38">
        <v>1540</v>
      </c>
      <c r="CF38">
        <v>382</v>
      </c>
      <c r="CJ38">
        <v>23</v>
      </c>
      <c r="CK38" t="s">
        <v>119</v>
      </c>
      <c r="CL38">
        <v>1759</v>
      </c>
      <c r="CM38">
        <v>3380</v>
      </c>
      <c r="CQ38" s="5">
        <v>23</v>
      </c>
      <c r="CR38" s="5" t="s">
        <v>119</v>
      </c>
      <c r="CS38" s="5">
        <v>1772</v>
      </c>
      <c r="CT38" s="5">
        <v>144</v>
      </c>
      <c r="CU38" s="5"/>
      <c r="CX38">
        <v>16</v>
      </c>
      <c r="CY38" t="s">
        <v>119</v>
      </c>
      <c r="CZ38">
        <v>1650</v>
      </c>
      <c r="DA38">
        <v>92</v>
      </c>
      <c r="DD38">
        <v>13</v>
      </c>
      <c r="DE38" t="s">
        <v>119</v>
      </c>
      <c r="DF38">
        <v>1788</v>
      </c>
      <c r="DG38">
        <v>1950</v>
      </c>
      <c r="DL38">
        <v>17</v>
      </c>
      <c r="DM38" t="s">
        <v>119</v>
      </c>
      <c r="DN38">
        <v>1843</v>
      </c>
      <c r="DO38">
        <v>2767</v>
      </c>
      <c r="DS38">
        <v>13</v>
      </c>
      <c r="DT38" t="s">
        <v>228</v>
      </c>
      <c r="DU38">
        <v>1901</v>
      </c>
      <c r="DV38">
        <v>196</v>
      </c>
      <c r="DZ38">
        <v>14</v>
      </c>
      <c r="EA38" t="s">
        <v>119</v>
      </c>
      <c r="EB38">
        <v>1613</v>
      </c>
      <c r="EC38">
        <v>110</v>
      </c>
    </row>
    <row r="39" spans="2:133" x14ac:dyDescent="0.25">
      <c r="B39" s="5"/>
      <c r="C39" s="5"/>
      <c r="D39" s="5"/>
      <c r="E39" s="5"/>
      <c r="F39" s="5"/>
      <c r="H39" s="6"/>
      <c r="I39" s="6"/>
      <c r="J39" s="6"/>
      <c r="K39" s="35"/>
      <c r="L39" s="6"/>
      <c r="P39" s="5"/>
      <c r="Q39" s="16"/>
      <c r="R39" s="11"/>
      <c r="S39" s="15"/>
      <c r="T39" s="5"/>
      <c r="X39" s="5"/>
      <c r="Y39" s="16"/>
      <c r="Z39" s="11"/>
      <c r="AA39" s="15"/>
      <c r="AB39" s="5"/>
      <c r="AF39" s="5"/>
      <c r="AG39" s="16"/>
      <c r="AH39" s="11"/>
      <c r="AI39" s="15"/>
      <c r="AJ39" s="5"/>
      <c r="AM39" s="5"/>
      <c r="AN39" s="5"/>
      <c r="AO39" s="5"/>
      <c r="AP39" s="5"/>
      <c r="AQ39" s="5"/>
      <c r="AT39" s="5"/>
      <c r="AU39" s="5"/>
      <c r="AV39" s="5"/>
      <c r="AW39" s="5"/>
      <c r="AX39" s="5"/>
      <c r="BA39" s="5"/>
      <c r="BB39" s="5"/>
      <c r="BC39" s="5"/>
      <c r="BD39" s="5"/>
      <c r="BE39" s="5"/>
      <c r="BH39" s="5">
        <v>28</v>
      </c>
      <c r="BI39" s="5" t="s">
        <v>253</v>
      </c>
      <c r="BJ39" s="5">
        <v>1540</v>
      </c>
      <c r="BK39" s="5">
        <v>909</v>
      </c>
      <c r="BL39" s="5"/>
      <c r="BO39" s="5">
        <v>28</v>
      </c>
      <c r="BP39" s="5" t="s">
        <v>120</v>
      </c>
      <c r="BQ39" s="5">
        <v>1626</v>
      </c>
      <c r="BR39" s="5">
        <v>435</v>
      </c>
      <c r="BS39" s="5"/>
      <c r="BV39" s="5">
        <v>26</v>
      </c>
      <c r="BW39" s="5" t="s">
        <v>253</v>
      </c>
      <c r="BX39" s="5">
        <v>1540</v>
      </c>
      <c r="BY39" s="5">
        <v>858</v>
      </c>
      <c r="BZ39" s="5"/>
      <c r="CC39">
        <v>26</v>
      </c>
      <c r="CD39" t="s">
        <v>120</v>
      </c>
      <c r="CE39">
        <v>1738</v>
      </c>
      <c r="CF39">
        <v>3144</v>
      </c>
      <c r="CJ39">
        <v>24</v>
      </c>
      <c r="CK39" t="s">
        <v>119</v>
      </c>
      <c r="CL39">
        <v>1736</v>
      </c>
      <c r="CM39">
        <v>2001</v>
      </c>
      <c r="CQ39" s="5">
        <v>24</v>
      </c>
      <c r="CR39" s="5" t="s">
        <v>119</v>
      </c>
      <c r="CS39" s="5">
        <v>1619</v>
      </c>
      <c r="CT39" s="5">
        <v>100</v>
      </c>
      <c r="CU39" s="5"/>
      <c r="CX39">
        <v>17</v>
      </c>
      <c r="CY39" t="s">
        <v>119</v>
      </c>
      <c r="CZ39">
        <v>1820</v>
      </c>
      <c r="DA39">
        <v>2552</v>
      </c>
      <c r="DG39">
        <f>SUM(DG38)</f>
        <v>1950</v>
      </c>
      <c r="DL39">
        <v>18</v>
      </c>
      <c r="DM39" t="s">
        <v>119</v>
      </c>
      <c r="DN39">
        <v>1619</v>
      </c>
      <c r="DO39">
        <v>100</v>
      </c>
      <c r="DV39">
        <f>SUM(DV37:DV38)</f>
        <v>574</v>
      </c>
      <c r="DZ39">
        <v>15</v>
      </c>
      <c r="EA39" t="s">
        <v>119</v>
      </c>
      <c r="EB39">
        <v>1619</v>
      </c>
      <c r="EC39">
        <v>100</v>
      </c>
    </row>
    <row r="40" spans="2:133" x14ac:dyDescent="0.25">
      <c r="B40" s="5">
        <v>24</v>
      </c>
      <c r="C40" s="5" t="s">
        <v>118</v>
      </c>
      <c r="D40" s="5">
        <v>1403</v>
      </c>
      <c r="E40" s="5">
        <v>3120</v>
      </c>
      <c r="F40" s="5"/>
      <c r="H40" s="6">
        <v>0.7</v>
      </c>
      <c r="I40" s="6"/>
      <c r="J40" s="6"/>
      <c r="K40" s="35"/>
      <c r="L40" s="6"/>
      <c r="P40" s="5">
        <v>24</v>
      </c>
      <c r="Q40" s="16" t="s">
        <v>119</v>
      </c>
      <c r="R40" s="11">
        <v>1458</v>
      </c>
      <c r="S40" s="15">
        <v>1310</v>
      </c>
      <c r="T40" s="5"/>
      <c r="X40" s="5"/>
      <c r="Y40" s="13">
        <v>0.28000000000000003</v>
      </c>
      <c r="Z40" s="11"/>
      <c r="AA40" s="15"/>
      <c r="AB40" s="5"/>
      <c r="AF40" s="5"/>
      <c r="AG40" s="16"/>
      <c r="AH40" s="11"/>
      <c r="AI40" s="15"/>
      <c r="AJ40" s="5"/>
      <c r="AM40" s="5">
        <v>25</v>
      </c>
      <c r="AN40" s="5" t="s">
        <v>121</v>
      </c>
      <c r="AO40" s="5">
        <v>1552</v>
      </c>
      <c r="AP40" s="5">
        <v>799</v>
      </c>
      <c r="AQ40" s="5"/>
      <c r="AT40" s="5"/>
      <c r="AU40" s="5"/>
      <c r="AV40" s="5"/>
      <c r="AW40" s="6">
        <f>SUM(AW28:AW38)</f>
        <v>4096</v>
      </c>
      <c r="AX40" s="5"/>
      <c r="BA40" s="5">
        <v>29</v>
      </c>
      <c r="BB40" s="5" t="s">
        <v>253</v>
      </c>
      <c r="BC40" s="5">
        <v>1552</v>
      </c>
      <c r="BD40" s="5">
        <v>799</v>
      </c>
      <c r="BE40" s="5"/>
      <c r="BH40" s="5">
        <v>29</v>
      </c>
      <c r="BI40" s="5" t="s">
        <v>120</v>
      </c>
      <c r="BJ40" s="5">
        <v>1534</v>
      </c>
      <c r="BK40" s="5">
        <v>851</v>
      </c>
      <c r="BL40" s="5"/>
      <c r="BO40" s="5"/>
      <c r="BP40" s="5"/>
      <c r="BQ40" s="5"/>
      <c r="BR40" s="6">
        <f>SUM(BR35:BR39)</f>
        <v>4868</v>
      </c>
      <c r="BS40" s="5"/>
      <c r="BV40" s="5"/>
      <c r="BW40" s="5"/>
      <c r="BX40" s="5"/>
      <c r="BY40" s="5">
        <f>SUM(BY31:BY39)</f>
        <v>6284</v>
      </c>
      <c r="BZ40" s="5"/>
      <c r="CC40">
        <v>27</v>
      </c>
      <c r="CD40" t="s">
        <v>120</v>
      </c>
      <c r="CE40">
        <v>1620</v>
      </c>
      <c r="CF40">
        <v>244</v>
      </c>
      <c r="CJ40">
        <v>25</v>
      </c>
      <c r="CK40" t="s">
        <v>119</v>
      </c>
      <c r="CL40">
        <v>1577</v>
      </c>
      <c r="CM40">
        <v>90</v>
      </c>
      <c r="CQ40" s="5">
        <v>25</v>
      </c>
      <c r="CR40" s="5" t="s">
        <v>118</v>
      </c>
      <c r="CS40" s="5">
        <v>1734</v>
      </c>
      <c r="CT40" s="5">
        <v>66</v>
      </c>
      <c r="CU40" s="5"/>
      <c r="CX40">
        <v>18</v>
      </c>
      <c r="CY40" t="s">
        <v>119</v>
      </c>
      <c r="CZ40">
        <v>1795</v>
      </c>
      <c r="DA40">
        <v>124</v>
      </c>
      <c r="DL40">
        <v>19</v>
      </c>
      <c r="DM40" t="s">
        <v>119</v>
      </c>
      <c r="DN40">
        <v>1650</v>
      </c>
      <c r="DO40">
        <v>77</v>
      </c>
      <c r="DZ40">
        <v>16</v>
      </c>
      <c r="EA40" t="s">
        <v>119</v>
      </c>
      <c r="EB40">
        <v>1650</v>
      </c>
      <c r="EC40">
        <v>77</v>
      </c>
    </row>
    <row r="41" spans="2:133" x14ac:dyDescent="0.25">
      <c r="B41" s="5"/>
      <c r="C41" s="5"/>
      <c r="D41" s="5"/>
      <c r="E41" s="5"/>
      <c r="F41" s="5"/>
      <c r="H41" s="6"/>
      <c r="I41" s="6"/>
      <c r="J41" s="6"/>
      <c r="K41" s="35"/>
      <c r="L41" s="6"/>
      <c r="P41" s="5"/>
      <c r="Q41" s="16"/>
      <c r="R41" s="11"/>
      <c r="S41" s="15"/>
      <c r="T41" s="5"/>
      <c r="X41" s="5"/>
      <c r="Y41" s="13"/>
      <c r="Z41" s="11"/>
      <c r="AA41" s="15"/>
      <c r="AB41" s="5"/>
      <c r="AF41" s="5"/>
      <c r="AG41" s="16"/>
      <c r="AH41" s="11"/>
      <c r="AI41" s="15"/>
      <c r="AJ41" s="5"/>
      <c r="AM41" s="5"/>
      <c r="AN41" s="5"/>
      <c r="AO41" s="5"/>
      <c r="AP41" s="5"/>
      <c r="AQ41" s="5"/>
      <c r="AT41" s="5"/>
      <c r="AU41" s="5"/>
      <c r="AV41" s="5"/>
      <c r="AW41" s="6"/>
      <c r="AX41" s="5"/>
      <c r="BA41" s="5"/>
      <c r="BB41" s="5"/>
      <c r="BC41" s="5"/>
      <c r="BD41" s="5"/>
      <c r="BE41" s="5"/>
      <c r="BH41" s="5"/>
      <c r="BI41" s="5"/>
      <c r="BJ41" s="5"/>
      <c r="BK41" s="6">
        <f>SUM(BK36:BK40)</f>
        <v>6552</v>
      </c>
      <c r="BL41" s="5"/>
      <c r="BO41" s="5">
        <v>0.24</v>
      </c>
      <c r="BP41" s="5"/>
      <c r="BQ41" s="5"/>
      <c r="BR41" s="5"/>
      <c r="BS41" s="5"/>
      <c r="BV41" s="5">
        <v>0.24</v>
      </c>
      <c r="BW41" s="5"/>
      <c r="BX41" s="5"/>
      <c r="BY41" s="5"/>
      <c r="BZ41" s="5"/>
      <c r="CF41">
        <v>8037</v>
      </c>
      <c r="CJ41">
        <v>26</v>
      </c>
      <c r="CK41" t="s">
        <v>118</v>
      </c>
      <c r="CL41">
        <v>1750</v>
      </c>
      <c r="CM41">
        <v>2008</v>
      </c>
      <c r="CQ41" s="5">
        <v>26</v>
      </c>
      <c r="CR41" s="5" t="s">
        <v>118</v>
      </c>
      <c r="CS41" s="5">
        <v>1794</v>
      </c>
      <c r="CT41" s="5">
        <v>1953</v>
      </c>
      <c r="CU41" s="5"/>
      <c r="CX41">
        <v>19</v>
      </c>
      <c r="CY41" t="s">
        <v>119</v>
      </c>
      <c r="CZ41">
        <v>1807</v>
      </c>
      <c r="DA41">
        <v>2554</v>
      </c>
      <c r="DD41">
        <v>0.28000000000000003</v>
      </c>
      <c r="DL41">
        <v>20</v>
      </c>
      <c r="DM41" t="s">
        <v>119</v>
      </c>
      <c r="DN41">
        <v>1613</v>
      </c>
      <c r="DO41">
        <v>110</v>
      </c>
      <c r="DS41">
        <v>0.35</v>
      </c>
      <c r="DZ41">
        <v>17</v>
      </c>
      <c r="EA41" t="s">
        <v>120</v>
      </c>
      <c r="EB41">
        <v>1828</v>
      </c>
      <c r="EC41">
        <v>98</v>
      </c>
    </row>
    <row r="42" spans="2:133" x14ac:dyDescent="0.25">
      <c r="B42" s="5"/>
      <c r="C42" s="5"/>
      <c r="D42" s="5"/>
      <c r="E42" s="5"/>
      <c r="F42" s="5"/>
      <c r="H42" s="6"/>
      <c r="I42" s="6"/>
      <c r="J42" s="6"/>
      <c r="K42" s="35"/>
      <c r="L42" s="6"/>
      <c r="P42" s="5"/>
      <c r="Q42" s="16"/>
      <c r="R42" s="11"/>
      <c r="S42" s="15"/>
      <c r="T42" s="5"/>
      <c r="X42" s="5"/>
      <c r="Y42" s="13"/>
      <c r="Z42" s="11"/>
      <c r="AA42" s="15"/>
      <c r="AB42" s="5"/>
      <c r="AF42" s="5"/>
      <c r="AG42" s="16"/>
      <c r="AH42" s="11"/>
      <c r="AI42" s="15"/>
      <c r="AJ42" s="5"/>
      <c r="AM42" s="5"/>
      <c r="AN42" s="5"/>
      <c r="AO42" s="5"/>
      <c r="AP42" s="5"/>
      <c r="AQ42" s="5"/>
      <c r="AT42" s="5"/>
      <c r="AU42" s="5"/>
      <c r="AV42" s="5"/>
      <c r="AW42" s="6"/>
      <c r="AX42" s="5"/>
      <c r="BA42" s="5"/>
      <c r="BB42" s="5"/>
      <c r="BC42" s="5"/>
      <c r="BD42" s="5"/>
      <c r="BE42" s="5"/>
      <c r="BH42" s="5">
        <v>0.24</v>
      </c>
      <c r="BI42" s="5"/>
      <c r="BJ42" s="5"/>
      <c r="BK42" s="5"/>
      <c r="BL42" s="5"/>
      <c r="BO42" s="5">
        <v>29</v>
      </c>
      <c r="BP42" s="5" t="s">
        <v>121</v>
      </c>
      <c r="BQ42" s="5">
        <v>1587</v>
      </c>
      <c r="BR42" s="5">
        <v>1614</v>
      </c>
      <c r="BS42" s="5"/>
      <c r="BV42" s="5">
        <v>27</v>
      </c>
      <c r="BW42" s="5" t="s">
        <v>123</v>
      </c>
      <c r="BX42" s="5">
        <v>1657</v>
      </c>
      <c r="BY42" s="5">
        <v>617</v>
      </c>
      <c r="BZ42" s="5"/>
      <c r="CC42">
        <v>0.24</v>
      </c>
      <c r="CJ42">
        <v>27</v>
      </c>
      <c r="CK42" t="s">
        <v>253</v>
      </c>
      <c r="CL42">
        <v>1752</v>
      </c>
      <c r="CM42">
        <v>1506</v>
      </c>
      <c r="CQ42" s="5">
        <v>27</v>
      </c>
      <c r="CR42" s="5" t="s">
        <v>118</v>
      </c>
      <c r="CS42" s="5">
        <v>1773</v>
      </c>
      <c r="CT42" s="5">
        <v>235</v>
      </c>
      <c r="CU42" s="5"/>
      <c r="CX42">
        <v>20</v>
      </c>
      <c r="CY42" t="s">
        <v>119</v>
      </c>
      <c r="CZ42">
        <v>1613</v>
      </c>
      <c r="DA42">
        <v>110</v>
      </c>
      <c r="DD42">
        <v>14</v>
      </c>
      <c r="DE42" t="s">
        <v>119</v>
      </c>
      <c r="DF42">
        <v>1613</v>
      </c>
      <c r="DG42">
        <v>110</v>
      </c>
      <c r="DL42">
        <v>21</v>
      </c>
      <c r="DM42" t="s">
        <v>118</v>
      </c>
      <c r="DN42">
        <v>1853</v>
      </c>
      <c r="DO42">
        <v>2923</v>
      </c>
      <c r="DS42">
        <v>14</v>
      </c>
      <c r="DT42" t="s">
        <v>118</v>
      </c>
      <c r="DU42">
        <v>1896</v>
      </c>
      <c r="DV42">
        <v>203</v>
      </c>
      <c r="DZ42">
        <v>18</v>
      </c>
      <c r="EA42" t="s">
        <v>119</v>
      </c>
      <c r="EB42">
        <v>1843</v>
      </c>
      <c r="EC42">
        <v>142</v>
      </c>
    </row>
    <row r="43" spans="2:133" x14ac:dyDescent="0.25">
      <c r="B43" s="5">
        <v>25</v>
      </c>
      <c r="C43" s="5" t="s">
        <v>118</v>
      </c>
      <c r="D43" s="5">
        <v>1346</v>
      </c>
      <c r="E43" s="5">
        <v>201</v>
      </c>
      <c r="F43" s="5"/>
      <c r="H43" s="5">
        <v>27</v>
      </c>
      <c r="I43" s="5" t="s">
        <v>228</v>
      </c>
      <c r="J43" s="5">
        <v>1453</v>
      </c>
      <c r="K43" s="21">
        <v>80</v>
      </c>
      <c r="L43" s="5"/>
      <c r="P43" s="5">
        <v>25</v>
      </c>
      <c r="Q43" s="16" t="s">
        <v>120</v>
      </c>
      <c r="R43" s="11">
        <v>1468</v>
      </c>
      <c r="S43" s="15">
        <v>1310</v>
      </c>
      <c r="T43" s="5"/>
      <c r="X43" s="5">
        <v>25</v>
      </c>
      <c r="Y43" s="16" t="s">
        <v>119</v>
      </c>
      <c r="Z43" s="11">
        <v>1511</v>
      </c>
      <c r="AA43" s="15">
        <v>3552</v>
      </c>
      <c r="AB43" s="5"/>
      <c r="AF43" s="5"/>
      <c r="AG43" s="13">
        <v>0.28000000000000003</v>
      </c>
      <c r="AH43" s="11"/>
      <c r="AI43" s="15"/>
      <c r="AJ43" s="5"/>
      <c r="AM43" s="5"/>
      <c r="AN43" s="5"/>
      <c r="AO43" s="5"/>
      <c r="AP43" s="6">
        <f>SUM(AP35:AP40)</f>
        <v>1616</v>
      </c>
      <c r="AQ43" s="5"/>
      <c r="AT43" s="5">
        <v>0.6</v>
      </c>
      <c r="AU43" s="5"/>
      <c r="AV43" s="5"/>
      <c r="AW43" s="5"/>
      <c r="AX43" s="5"/>
      <c r="BA43" s="5">
        <v>30</v>
      </c>
      <c r="BB43" s="5" t="s">
        <v>125</v>
      </c>
      <c r="BC43" s="5">
        <v>1376</v>
      </c>
      <c r="BD43" s="5">
        <v>656</v>
      </c>
      <c r="BE43" s="5"/>
      <c r="BH43" s="5">
        <v>30</v>
      </c>
      <c r="BI43" s="5" t="s">
        <v>121</v>
      </c>
      <c r="BJ43" s="5">
        <v>1587</v>
      </c>
      <c r="BK43" s="5">
        <v>2204</v>
      </c>
      <c r="BL43" s="5"/>
      <c r="BO43" s="5">
        <v>30</v>
      </c>
      <c r="BP43" s="5" t="s">
        <v>124</v>
      </c>
      <c r="BQ43" s="5">
        <v>1627</v>
      </c>
      <c r="BR43" s="5">
        <v>1507</v>
      </c>
      <c r="BS43" s="5"/>
      <c r="BV43" s="5">
        <v>28</v>
      </c>
      <c r="BW43" s="5" t="s">
        <v>122</v>
      </c>
      <c r="BX43" s="5">
        <v>1516</v>
      </c>
      <c r="BY43" s="5">
        <v>2882</v>
      </c>
      <c r="BZ43" s="5"/>
      <c r="CC43">
        <v>28</v>
      </c>
      <c r="CD43" t="s">
        <v>118</v>
      </c>
      <c r="CE43">
        <v>1719</v>
      </c>
      <c r="CF43">
        <v>626</v>
      </c>
      <c r="CJ43">
        <v>28</v>
      </c>
      <c r="CK43" t="s">
        <v>120</v>
      </c>
      <c r="CL43">
        <v>1715</v>
      </c>
      <c r="CM43">
        <v>1903</v>
      </c>
      <c r="CQ43" s="5">
        <v>28</v>
      </c>
      <c r="CR43" s="5" t="s">
        <v>253</v>
      </c>
      <c r="CS43" s="5">
        <v>1540</v>
      </c>
      <c r="CT43" s="5">
        <v>237</v>
      </c>
      <c r="CU43" s="5"/>
      <c r="CX43">
        <v>21</v>
      </c>
      <c r="CY43" t="s">
        <v>120</v>
      </c>
      <c r="CZ43">
        <v>1752</v>
      </c>
      <c r="DA43">
        <v>254</v>
      </c>
      <c r="DD43">
        <v>15</v>
      </c>
      <c r="DE43" t="s">
        <v>119</v>
      </c>
      <c r="DF43">
        <v>1619</v>
      </c>
      <c r="DG43">
        <v>100</v>
      </c>
      <c r="DL43">
        <v>22</v>
      </c>
      <c r="DM43" t="s">
        <v>124</v>
      </c>
      <c r="DN43">
        <v>1797</v>
      </c>
      <c r="DO43">
        <v>947</v>
      </c>
      <c r="DV43">
        <f>SUM(DV42)</f>
        <v>203</v>
      </c>
      <c r="DZ43">
        <v>19</v>
      </c>
      <c r="EA43" t="s">
        <v>124</v>
      </c>
      <c r="EB43">
        <v>1889</v>
      </c>
      <c r="EC43">
        <v>761</v>
      </c>
    </row>
    <row r="44" spans="2:133" x14ac:dyDescent="0.25">
      <c r="B44" s="5"/>
      <c r="C44" s="5"/>
      <c r="D44" s="5"/>
      <c r="E44" s="6">
        <f>SUM(E40:E43)</f>
        <v>3321</v>
      </c>
      <c r="F44" s="5"/>
      <c r="H44" s="5">
        <v>28</v>
      </c>
      <c r="I44" s="5" t="s">
        <v>122</v>
      </c>
      <c r="J44" s="5">
        <v>1497</v>
      </c>
      <c r="K44" s="21">
        <v>859</v>
      </c>
      <c r="L44" s="5"/>
      <c r="P44" s="5">
        <v>26</v>
      </c>
      <c r="Q44" s="16" t="s">
        <v>118</v>
      </c>
      <c r="R44" s="11">
        <v>1471</v>
      </c>
      <c r="S44" s="15">
        <v>1690</v>
      </c>
      <c r="T44" s="5"/>
      <c r="X44" s="5">
        <v>26</v>
      </c>
      <c r="Y44" s="16" t="s">
        <v>119</v>
      </c>
      <c r="Z44" s="11">
        <v>1458</v>
      </c>
      <c r="AA44" s="15">
        <v>1310</v>
      </c>
      <c r="AB44" s="5"/>
      <c r="AF44" s="5"/>
      <c r="AG44" s="13" t="s">
        <v>208</v>
      </c>
      <c r="AH44" s="11">
        <v>1540</v>
      </c>
      <c r="AI44" s="15">
        <v>1982</v>
      </c>
      <c r="AJ44" s="5"/>
      <c r="AM44" s="5">
        <v>0.28000000000000003</v>
      </c>
      <c r="AN44" s="5"/>
      <c r="AO44" s="5"/>
      <c r="AP44" s="5"/>
      <c r="AQ44" s="5"/>
      <c r="AT44" s="5">
        <v>28</v>
      </c>
      <c r="AU44" s="5" t="s">
        <v>119</v>
      </c>
      <c r="AV44" s="5">
        <v>1455</v>
      </c>
      <c r="AW44" s="5">
        <v>161</v>
      </c>
      <c r="AX44" s="5"/>
      <c r="BA44" s="5"/>
      <c r="BB44" s="5"/>
      <c r="BC44" s="5"/>
      <c r="BD44" s="6">
        <f>SUM(BD38:BD43)</f>
        <v>1616</v>
      </c>
      <c r="BE44" s="5"/>
      <c r="BH44" s="5">
        <v>31</v>
      </c>
      <c r="BI44" s="5" t="s">
        <v>124</v>
      </c>
      <c r="BJ44" s="5">
        <v>1588</v>
      </c>
      <c r="BK44" s="5">
        <v>205</v>
      </c>
      <c r="BL44" s="5"/>
      <c r="BO44" s="5">
        <v>31</v>
      </c>
      <c r="BP44" s="5" t="s">
        <v>129</v>
      </c>
      <c r="BQ44" s="5">
        <v>1580</v>
      </c>
      <c r="BR44" s="5">
        <v>1922</v>
      </c>
      <c r="BS44" s="5"/>
      <c r="BV44" s="5">
        <v>29</v>
      </c>
      <c r="BW44" s="5" t="s">
        <v>122</v>
      </c>
      <c r="BX44" s="5">
        <v>1544</v>
      </c>
      <c r="BY44" s="5">
        <v>1371</v>
      </c>
      <c r="BZ44" s="5"/>
      <c r="CC44">
        <v>29</v>
      </c>
      <c r="CD44" t="s">
        <v>118</v>
      </c>
      <c r="CE44">
        <v>1735</v>
      </c>
      <c r="CF44">
        <v>3173</v>
      </c>
      <c r="CJ44">
        <v>29</v>
      </c>
      <c r="CK44" t="s">
        <v>129</v>
      </c>
      <c r="CL44">
        <v>1634</v>
      </c>
      <c r="CM44">
        <v>535</v>
      </c>
      <c r="CQ44" s="5">
        <v>29</v>
      </c>
      <c r="CR44" s="5" t="s">
        <v>120</v>
      </c>
      <c r="CS44" s="5">
        <v>1757</v>
      </c>
      <c r="CT44" s="5">
        <v>721</v>
      </c>
      <c r="CU44" s="5"/>
      <c r="CX44">
        <v>22</v>
      </c>
      <c r="CY44" t="s">
        <v>253</v>
      </c>
      <c r="CZ44">
        <v>1540</v>
      </c>
      <c r="DA44">
        <v>237</v>
      </c>
      <c r="DD44">
        <v>16</v>
      </c>
      <c r="DE44" t="s">
        <v>119</v>
      </c>
      <c r="DF44">
        <v>1830</v>
      </c>
      <c r="DG44">
        <v>428</v>
      </c>
      <c r="DL44">
        <v>23</v>
      </c>
      <c r="DM44" t="s">
        <v>120</v>
      </c>
      <c r="DN44">
        <v>1828</v>
      </c>
      <c r="DO44">
        <v>89</v>
      </c>
      <c r="DZ44">
        <v>20</v>
      </c>
      <c r="EA44" t="s">
        <v>118</v>
      </c>
      <c r="EB44">
        <v>1914</v>
      </c>
      <c r="EC44">
        <v>321</v>
      </c>
    </row>
    <row r="45" spans="2:133" x14ac:dyDescent="0.25">
      <c r="B45" s="5" t="s">
        <v>128</v>
      </c>
      <c r="C45" s="5"/>
      <c r="D45" s="5"/>
      <c r="E45" s="5"/>
      <c r="F45" s="5"/>
      <c r="H45" s="5">
        <v>29</v>
      </c>
      <c r="I45" s="5" t="s">
        <v>125</v>
      </c>
      <c r="J45" s="5">
        <v>1376</v>
      </c>
      <c r="K45" s="21">
        <v>656</v>
      </c>
      <c r="L45" s="5"/>
      <c r="P45" s="5"/>
      <c r="Q45" s="16"/>
      <c r="R45" s="11"/>
      <c r="S45" s="14">
        <f>SUM(S38:S44)</f>
        <v>7862</v>
      </c>
      <c r="T45" s="5"/>
      <c r="X45" s="5">
        <v>27</v>
      </c>
      <c r="Y45" s="16" t="s">
        <v>120</v>
      </c>
      <c r="Z45" s="11">
        <v>1468</v>
      </c>
      <c r="AA45" s="15">
        <v>497</v>
      </c>
      <c r="AB45" s="5"/>
      <c r="AF45" s="5">
        <v>27</v>
      </c>
      <c r="AG45" s="16" t="s">
        <v>119</v>
      </c>
      <c r="AH45" s="11">
        <v>1511</v>
      </c>
      <c r="AI45" s="15">
        <v>1832</v>
      </c>
      <c r="AJ45" s="5"/>
      <c r="AM45" s="5">
        <v>26</v>
      </c>
      <c r="AN45" s="5" t="s">
        <v>120</v>
      </c>
      <c r="AO45" s="5">
        <v>1468</v>
      </c>
      <c r="AP45" s="5">
        <v>127</v>
      </c>
      <c r="AQ45" s="5"/>
      <c r="AT45" s="5">
        <v>0.7</v>
      </c>
      <c r="AU45" s="5"/>
      <c r="AV45" s="5"/>
      <c r="AW45" s="5"/>
      <c r="AX45" s="5"/>
      <c r="BA45" s="5">
        <v>0.28000000000000003</v>
      </c>
      <c r="BB45" s="5"/>
      <c r="BC45" s="5"/>
      <c r="BD45" s="5"/>
      <c r="BE45" s="5"/>
      <c r="BH45" s="5">
        <v>32</v>
      </c>
      <c r="BI45" s="5" t="s">
        <v>129</v>
      </c>
      <c r="BJ45" s="5">
        <v>1580</v>
      </c>
      <c r="BK45" s="5">
        <v>1922</v>
      </c>
      <c r="BL45" s="5"/>
      <c r="BO45" s="5">
        <v>32</v>
      </c>
      <c r="BP45" s="5" t="s">
        <v>119</v>
      </c>
      <c r="BQ45" s="5">
        <v>1396</v>
      </c>
      <c r="BR45" s="5">
        <v>114</v>
      </c>
      <c r="BS45" s="5"/>
      <c r="BV45" s="5">
        <v>30</v>
      </c>
      <c r="BW45" s="5" t="s">
        <v>129</v>
      </c>
      <c r="BX45" s="5">
        <v>1634</v>
      </c>
      <c r="BY45" s="5">
        <v>2229</v>
      </c>
      <c r="BZ45" s="5"/>
      <c r="CC45">
        <v>30</v>
      </c>
      <c r="CD45" t="s">
        <v>120</v>
      </c>
      <c r="CE45">
        <v>1715</v>
      </c>
      <c r="CF45">
        <v>3243</v>
      </c>
      <c r="CM45">
        <v>15028</v>
      </c>
      <c r="CQ45" s="5"/>
      <c r="CR45" s="5"/>
      <c r="CS45" s="5"/>
      <c r="CT45" s="5">
        <f>SUM(CT34:CT44)</f>
        <v>7386</v>
      </c>
      <c r="CU45" s="5"/>
      <c r="DA45">
        <f>SUM(DA37:DA44)</f>
        <v>6023</v>
      </c>
      <c r="DD45">
        <v>17</v>
      </c>
      <c r="DE45" t="s">
        <v>119</v>
      </c>
      <c r="DF45">
        <v>1650</v>
      </c>
      <c r="DG45">
        <v>92</v>
      </c>
      <c r="DL45">
        <v>24</v>
      </c>
      <c r="DM45" t="s">
        <v>120</v>
      </c>
      <c r="DN45">
        <v>1826</v>
      </c>
      <c r="DO45">
        <v>2485</v>
      </c>
      <c r="DS45">
        <v>0.28000000000000003</v>
      </c>
      <c r="DZ45">
        <v>21</v>
      </c>
      <c r="EA45" t="s">
        <v>119</v>
      </c>
      <c r="EB45">
        <v>1915</v>
      </c>
      <c r="EC45">
        <v>2054</v>
      </c>
    </row>
    <row r="46" spans="2:133" x14ac:dyDescent="0.25">
      <c r="B46" s="5">
        <v>26</v>
      </c>
      <c r="C46" s="5" t="s">
        <v>118</v>
      </c>
      <c r="D46" s="5">
        <v>1402</v>
      </c>
      <c r="E46" s="5">
        <v>3530</v>
      </c>
      <c r="F46" s="5"/>
      <c r="H46" s="6"/>
      <c r="I46" s="6"/>
      <c r="J46" s="6"/>
      <c r="K46" s="35">
        <f>SUM(K43:K45)</f>
        <v>1595</v>
      </c>
      <c r="L46" s="6"/>
      <c r="P46" s="5"/>
      <c r="Q46" s="13">
        <v>0.24</v>
      </c>
      <c r="R46" s="11"/>
      <c r="S46" s="15"/>
      <c r="T46" s="5"/>
      <c r="X46" s="5">
        <v>28</v>
      </c>
      <c r="Y46" s="16" t="s">
        <v>118</v>
      </c>
      <c r="Z46" s="11">
        <v>1471</v>
      </c>
      <c r="AA46" s="15">
        <v>1690</v>
      </c>
      <c r="AB46" s="5"/>
      <c r="AF46" s="5">
        <v>28</v>
      </c>
      <c r="AG46" s="16" t="s">
        <v>120</v>
      </c>
      <c r="AH46" s="11">
        <v>1534</v>
      </c>
      <c r="AI46" s="15">
        <v>999</v>
      </c>
      <c r="AJ46" s="5"/>
      <c r="AM46" s="5">
        <v>27</v>
      </c>
      <c r="AN46" s="5" t="s">
        <v>120</v>
      </c>
      <c r="AO46" s="5">
        <v>1534</v>
      </c>
      <c r="AP46" s="5">
        <v>581</v>
      </c>
      <c r="AQ46" s="5"/>
      <c r="AT46" s="5">
        <v>29</v>
      </c>
      <c r="AU46" s="5" t="s">
        <v>253</v>
      </c>
      <c r="AV46" s="5">
        <v>1552</v>
      </c>
      <c r="AW46" s="5">
        <v>799</v>
      </c>
      <c r="AX46" s="5"/>
      <c r="BA46" s="5">
        <v>31</v>
      </c>
      <c r="BB46" s="5" t="s">
        <v>119</v>
      </c>
      <c r="BC46" s="5">
        <v>1511</v>
      </c>
      <c r="BD46" s="5">
        <v>1029</v>
      </c>
      <c r="BE46" s="5"/>
      <c r="BH46" s="5">
        <v>33</v>
      </c>
      <c r="BI46" s="5" t="s">
        <v>119</v>
      </c>
      <c r="BJ46" s="5">
        <v>1611</v>
      </c>
      <c r="BK46" s="5">
        <v>3189</v>
      </c>
      <c r="BL46" s="5"/>
      <c r="BO46" s="5">
        <v>33</v>
      </c>
      <c r="BP46" s="5" t="s">
        <v>118</v>
      </c>
      <c r="BQ46" s="5">
        <v>1579</v>
      </c>
      <c r="BR46" s="5">
        <v>125</v>
      </c>
      <c r="BS46" s="5"/>
      <c r="BV46" s="5">
        <v>31</v>
      </c>
      <c r="BW46" s="5" t="s">
        <v>121</v>
      </c>
      <c r="BX46" s="5">
        <v>1698</v>
      </c>
      <c r="BY46" s="5">
        <v>2648</v>
      </c>
      <c r="BZ46" s="5"/>
      <c r="CC46">
        <v>31</v>
      </c>
      <c r="CD46" t="s">
        <v>120</v>
      </c>
      <c r="CE46">
        <v>1692</v>
      </c>
      <c r="CF46">
        <v>2037</v>
      </c>
      <c r="CJ46">
        <v>0.22</v>
      </c>
      <c r="CQ46" s="5">
        <v>0.24</v>
      </c>
      <c r="CR46" s="5"/>
      <c r="CS46" s="5"/>
      <c r="CT46" s="5"/>
      <c r="CU46" s="5"/>
      <c r="DD46">
        <v>18</v>
      </c>
      <c r="DE46" t="s">
        <v>120</v>
      </c>
      <c r="DF46">
        <v>1828</v>
      </c>
      <c r="DG46">
        <v>411</v>
      </c>
      <c r="DL46">
        <v>25</v>
      </c>
      <c r="DM46" t="s">
        <v>121</v>
      </c>
      <c r="DN46">
        <v>1867</v>
      </c>
      <c r="DO46">
        <v>2011</v>
      </c>
      <c r="DS46">
        <v>15</v>
      </c>
      <c r="DT46" t="s">
        <v>119</v>
      </c>
      <c r="DU46">
        <v>1893</v>
      </c>
      <c r="DV46">
        <v>3020</v>
      </c>
      <c r="DZ46">
        <v>22</v>
      </c>
      <c r="EA46" t="s">
        <v>118</v>
      </c>
      <c r="EC46">
        <v>331</v>
      </c>
    </row>
    <row r="47" spans="2:133" x14ac:dyDescent="0.25">
      <c r="B47" s="5"/>
      <c r="C47" s="5"/>
      <c r="D47" s="5"/>
      <c r="E47" s="5"/>
      <c r="F47" s="5"/>
      <c r="H47" s="6"/>
      <c r="I47" s="6"/>
      <c r="J47" s="6"/>
      <c r="K47" s="35"/>
      <c r="L47" s="6"/>
      <c r="P47" s="5"/>
      <c r="Q47" s="13"/>
      <c r="R47" s="11"/>
      <c r="S47" s="15"/>
      <c r="T47" s="5"/>
      <c r="X47" s="5"/>
      <c r="Y47" s="16"/>
      <c r="Z47" s="11"/>
      <c r="AA47" s="15"/>
      <c r="AB47" s="5"/>
      <c r="AF47" s="5"/>
      <c r="AG47" s="16"/>
      <c r="AH47" s="11"/>
      <c r="AI47" s="15"/>
      <c r="AJ47" s="5"/>
      <c r="AM47" s="5"/>
      <c r="AN47" s="5"/>
      <c r="AO47" s="5"/>
      <c r="AP47" s="5"/>
      <c r="AQ47" s="5"/>
      <c r="AT47" s="5"/>
      <c r="AU47" s="5"/>
      <c r="AV47" s="5"/>
      <c r="AW47" s="5"/>
      <c r="AX47" s="5"/>
      <c r="BA47" s="5"/>
      <c r="BB47" s="5"/>
      <c r="BC47" s="5"/>
      <c r="BD47" s="5"/>
      <c r="BE47" s="5"/>
      <c r="BH47" s="5">
        <v>34</v>
      </c>
      <c r="BI47" s="5" t="s">
        <v>119</v>
      </c>
      <c r="BJ47" s="5">
        <v>1613</v>
      </c>
      <c r="BK47" s="5">
        <v>3122</v>
      </c>
      <c r="BL47" s="5"/>
      <c r="BO47" s="5">
        <v>34</v>
      </c>
      <c r="BP47" s="5" t="s">
        <v>118</v>
      </c>
      <c r="BQ47" s="5">
        <v>1614</v>
      </c>
      <c r="BR47" s="5">
        <v>108</v>
      </c>
      <c r="BS47" s="5"/>
      <c r="BV47" s="5">
        <v>32</v>
      </c>
      <c r="BW47" s="5" t="s">
        <v>119</v>
      </c>
      <c r="BX47" s="5">
        <v>1657</v>
      </c>
      <c r="BY47" s="5">
        <v>158</v>
      </c>
      <c r="BZ47" s="5"/>
      <c r="CC47">
        <v>32</v>
      </c>
      <c r="CD47" t="s">
        <v>129</v>
      </c>
      <c r="CE47">
        <v>1634</v>
      </c>
      <c r="CF47">
        <v>1555</v>
      </c>
      <c r="CJ47">
        <v>30</v>
      </c>
      <c r="CK47" t="s">
        <v>119</v>
      </c>
      <c r="CL47">
        <v>1512</v>
      </c>
      <c r="CM47">
        <v>345</v>
      </c>
      <c r="CQ47" s="5">
        <v>30</v>
      </c>
      <c r="CR47" s="5" t="s">
        <v>122</v>
      </c>
      <c r="CS47" s="5">
        <v>1516</v>
      </c>
      <c r="CT47" s="5">
        <v>2882</v>
      </c>
      <c r="CU47" s="5"/>
      <c r="CX47">
        <v>0.24</v>
      </c>
      <c r="DD47">
        <v>19</v>
      </c>
      <c r="DE47" t="s">
        <v>120</v>
      </c>
      <c r="DF47">
        <v>1757</v>
      </c>
      <c r="DG47">
        <v>254</v>
      </c>
      <c r="DL47">
        <v>26</v>
      </c>
      <c r="DM47" t="s">
        <v>121</v>
      </c>
      <c r="DN47">
        <v>1540</v>
      </c>
      <c r="DO47">
        <v>115</v>
      </c>
      <c r="DS47">
        <v>16</v>
      </c>
      <c r="DT47" t="s">
        <v>119</v>
      </c>
      <c r="DU47">
        <v>1613</v>
      </c>
      <c r="DV47">
        <v>110</v>
      </c>
      <c r="EC47">
        <v>3994</v>
      </c>
    </row>
    <row r="48" spans="2:133" x14ac:dyDescent="0.25">
      <c r="B48" s="5">
        <v>27</v>
      </c>
      <c r="C48" s="5" t="s">
        <v>118</v>
      </c>
      <c r="D48" s="5">
        <v>1339</v>
      </c>
      <c r="E48" s="5">
        <v>235</v>
      </c>
      <c r="F48" s="5"/>
      <c r="H48" s="6">
        <v>0.28000000000000003</v>
      </c>
      <c r="I48" s="6"/>
      <c r="J48" s="6"/>
      <c r="K48" s="35"/>
      <c r="L48" s="6"/>
      <c r="P48" s="5">
        <v>27</v>
      </c>
      <c r="Q48" s="16" t="s">
        <v>118</v>
      </c>
      <c r="R48" s="11">
        <v>1509</v>
      </c>
      <c r="S48" s="15">
        <v>2462</v>
      </c>
      <c r="T48" s="5"/>
      <c r="X48" s="5"/>
      <c r="Y48" s="16"/>
      <c r="Z48" s="11"/>
      <c r="AA48" s="14">
        <f>SUM(AA43:AA46)</f>
        <v>7049</v>
      </c>
      <c r="AB48" s="5"/>
      <c r="AF48" s="5">
        <v>29</v>
      </c>
      <c r="AG48" s="16" t="s">
        <v>120</v>
      </c>
      <c r="AH48" s="11">
        <v>1468</v>
      </c>
      <c r="AI48" s="15">
        <v>498</v>
      </c>
      <c r="AJ48" s="5"/>
      <c r="AM48" s="5">
        <v>28</v>
      </c>
      <c r="AN48" s="5" t="s">
        <v>118</v>
      </c>
      <c r="AO48" s="5">
        <v>1542</v>
      </c>
      <c r="AP48" s="5">
        <v>536</v>
      </c>
      <c r="AQ48" s="5"/>
      <c r="AT48" s="5">
        <v>30</v>
      </c>
      <c r="AU48" s="5" t="s">
        <v>125</v>
      </c>
      <c r="AV48" s="5">
        <v>1376</v>
      </c>
      <c r="AW48" s="5">
        <v>656</v>
      </c>
      <c r="AX48" s="5"/>
      <c r="BA48" s="5">
        <v>32</v>
      </c>
      <c r="BB48" s="5" t="s">
        <v>118</v>
      </c>
      <c r="BC48" s="5">
        <v>1555</v>
      </c>
      <c r="BD48" s="5">
        <v>1011</v>
      </c>
      <c r="BE48" s="5"/>
      <c r="BH48" s="5">
        <v>35</v>
      </c>
      <c r="BI48" s="5" t="s">
        <v>119</v>
      </c>
      <c r="BJ48" s="5">
        <v>1582</v>
      </c>
      <c r="BK48" s="5">
        <v>969</v>
      </c>
      <c r="BL48" s="5"/>
      <c r="BO48" s="5">
        <v>35</v>
      </c>
      <c r="BP48" s="5" t="s">
        <v>118</v>
      </c>
      <c r="BQ48" s="5">
        <v>1615</v>
      </c>
      <c r="BR48" s="5">
        <v>831</v>
      </c>
      <c r="BS48" s="5"/>
      <c r="BV48" s="5">
        <v>33</v>
      </c>
      <c r="BW48" s="5" t="s">
        <v>119</v>
      </c>
      <c r="BX48" s="5">
        <v>1396</v>
      </c>
      <c r="BY48" s="5">
        <v>114</v>
      </c>
      <c r="BZ48" s="5"/>
      <c r="CC48">
        <v>33</v>
      </c>
      <c r="CD48" t="s">
        <v>119</v>
      </c>
      <c r="CE48">
        <v>1727</v>
      </c>
      <c r="CF48">
        <v>195</v>
      </c>
      <c r="CJ48">
        <v>31</v>
      </c>
      <c r="CK48" t="s">
        <v>119</v>
      </c>
      <c r="CL48">
        <v>1335</v>
      </c>
      <c r="CM48">
        <v>96</v>
      </c>
      <c r="CQ48" s="5">
        <v>31</v>
      </c>
      <c r="CR48" s="5" t="s">
        <v>122</v>
      </c>
      <c r="CS48" s="5">
        <v>1544</v>
      </c>
      <c r="CT48" s="5">
        <v>506</v>
      </c>
      <c r="CU48" s="5"/>
      <c r="CX48">
        <v>23</v>
      </c>
      <c r="CY48" t="s">
        <v>118</v>
      </c>
      <c r="CZ48">
        <v>1766</v>
      </c>
      <c r="DA48">
        <v>129</v>
      </c>
      <c r="DL48">
        <v>27</v>
      </c>
      <c r="DM48" t="s">
        <v>121</v>
      </c>
      <c r="DN48">
        <v>1810</v>
      </c>
      <c r="DO48">
        <v>168</v>
      </c>
      <c r="DS48">
        <v>17</v>
      </c>
      <c r="DT48" t="s">
        <v>119</v>
      </c>
      <c r="DU48">
        <v>1650</v>
      </c>
      <c r="DV48">
        <v>77</v>
      </c>
    </row>
    <row r="49" spans="2:133" x14ac:dyDescent="0.25">
      <c r="B49" s="5">
        <v>28</v>
      </c>
      <c r="C49" s="5" t="s">
        <v>118</v>
      </c>
      <c r="D49" s="5">
        <v>1391</v>
      </c>
      <c r="E49" s="5">
        <v>115</v>
      </c>
      <c r="F49" s="5"/>
      <c r="H49" s="5">
        <v>30</v>
      </c>
      <c r="I49" s="5" t="s">
        <v>119</v>
      </c>
      <c r="J49" s="5">
        <v>1458</v>
      </c>
      <c r="K49" s="21">
        <v>1345</v>
      </c>
      <c r="L49" s="5"/>
      <c r="P49" s="5">
        <v>28</v>
      </c>
      <c r="Q49" s="16" t="s">
        <v>118</v>
      </c>
      <c r="R49" s="11">
        <v>1510</v>
      </c>
      <c r="S49" s="15">
        <v>3250</v>
      </c>
      <c r="T49" s="5"/>
      <c r="X49" s="5"/>
      <c r="Y49" s="13">
        <v>0.24</v>
      </c>
      <c r="Z49" s="11"/>
      <c r="AA49" s="15"/>
      <c r="AB49" s="5"/>
      <c r="AF49" s="5">
        <v>30</v>
      </c>
      <c r="AG49" s="16" t="s">
        <v>118</v>
      </c>
      <c r="AH49" s="11">
        <v>1471</v>
      </c>
      <c r="AI49" s="15">
        <v>1467</v>
      </c>
      <c r="AJ49" s="5"/>
      <c r="AM49" s="5">
        <v>29</v>
      </c>
      <c r="AN49" s="5" t="s">
        <v>118</v>
      </c>
      <c r="AO49" s="5">
        <v>1471</v>
      </c>
      <c r="AP49" s="5">
        <v>314</v>
      </c>
      <c r="AQ49" s="5"/>
      <c r="AT49" s="5"/>
      <c r="AU49" s="5"/>
      <c r="AV49" s="5"/>
      <c r="AW49" s="6">
        <f>SUM(AW44:AW48)</f>
        <v>1616</v>
      </c>
      <c r="AX49" s="5"/>
      <c r="BA49" s="5">
        <v>34</v>
      </c>
      <c r="BB49" s="5" t="s">
        <v>253</v>
      </c>
      <c r="BC49" s="5">
        <v>1540</v>
      </c>
      <c r="BD49" s="5">
        <v>1734</v>
      </c>
      <c r="BE49" s="5"/>
      <c r="BH49" s="5">
        <v>36</v>
      </c>
      <c r="BI49" s="5" t="s">
        <v>119</v>
      </c>
      <c r="BJ49" s="5">
        <v>1396</v>
      </c>
      <c r="BK49" s="5">
        <v>112</v>
      </c>
      <c r="BL49" s="5"/>
      <c r="BO49" s="5">
        <v>36</v>
      </c>
      <c r="BP49" s="5" t="s">
        <v>118</v>
      </c>
      <c r="BQ49" s="5">
        <v>1632</v>
      </c>
      <c r="BR49" s="5">
        <v>248</v>
      </c>
      <c r="BS49" s="5"/>
      <c r="BV49" s="5">
        <v>34</v>
      </c>
      <c r="BW49" s="5" t="s">
        <v>119</v>
      </c>
      <c r="BX49" s="5"/>
      <c r="BY49" s="5">
        <v>113</v>
      </c>
      <c r="BZ49" s="5"/>
      <c r="CC49">
        <v>34</v>
      </c>
      <c r="CD49" t="s">
        <v>119</v>
      </c>
      <c r="CE49">
        <v>1716</v>
      </c>
      <c r="CF49">
        <v>2633</v>
      </c>
      <c r="CJ49">
        <v>32</v>
      </c>
      <c r="CK49" t="s">
        <v>120</v>
      </c>
      <c r="CL49">
        <v>1737</v>
      </c>
      <c r="CM49">
        <v>1525</v>
      </c>
      <c r="CQ49" s="5">
        <v>32</v>
      </c>
      <c r="CR49" s="5" t="s">
        <v>129</v>
      </c>
      <c r="CS49" s="5">
        <v>1634</v>
      </c>
      <c r="CT49" s="5">
        <v>112</v>
      </c>
      <c r="CU49" s="5"/>
      <c r="CX49">
        <v>24</v>
      </c>
      <c r="CY49" t="s">
        <v>118</v>
      </c>
      <c r="CZ49">
        <v>1808</v>
      </c>
      <c r="DA49">
        <v>2706</v>
      </c>
      <c r="DD49">
        <v>21</v>
      </c>
      <c r="DE49" t="s">
        <v>118</v>
      </c>
      <c r="DF49">
        <v>1826</v>
      </c>
      <c r="DG49">
        <v>707</v>
      </c>
      <c r="DO49">
        <f>SUM(DO38:DO48)</f>
        <v>11792</v>
      </c>
      <c r="DS49">
        <v>19</v>
      </c>
      <c r="DT49" t="s">
        <v>119</v>
      </c>
      <c r="DU49">
        <v>1619</v>
      </c>
      <c r="DV49">
        <v>100</v>
      </c>
      <c r="DZ49">
        <v>0.24</v>
      </c>
    </row>
    <row r="50" spans="2:133" x14ac:dyDescent="0.25">
      <c r="B50" s="5">
        <v>29</v>
      </c>
      <c r="C50" s="5" t="s">
        <v>118</v>
      </c>
      <c r="D50" s="5">
        <v>1366</v>
      </c>
      <c r="E50" s="5">
        <v>224</v>
      </c>
      <c r="F50" s="5"/>
      <c r="H50" s="5">
        <v>31</v>
      </c>
      <c r="I50" s="5" t="s">
        <v>118</v>
      </c>
      <c r="J50" s="5">
        <v>1471</v>
      </c>
      <c r="K50" s="21">
        <v>2806</v>
      </c>
      <c r="L50" s="5"/>
      <c r="P50" s="5">
        <v>29</v>
      </c>
      <c r="Q50" s="16" t="s">
        <v>118</v>
      </c>
      <c r="R50" s="11">
        <v>1490</v>
      </c>
      <c r="S50" s="15">
        <v>325</v>
      </c>
      <c r="T50" s="5"/>
      <c r="X50" s="5">
        <v>29</v>
      </c>
      <c r="Y50" s="16" t="s">
        <v>118</v>
      </c>
      <c r="Z50" s="11">
        <v>1509</v>
      </c>
      <c r="AA50" s="15">
        <v>1721</v>
      </c>
      <c r="AB50" s="5"/>
      <c r="AF50" s="5"/>
      <c r="AG50" s="16"/>
      <c r="AH50" s="11"/>
      <c r="AI50" s="14">
        <f>SUM(AI44:AI49)</f>
        <v>6778</v>
      </c>
      <c r="AJ50" s="5"/>
      <c r="AM50" s="5">
        <v>30</v>
      </c>
      <c r="AN50" s="5" t="s">
        <v>118</v>
      </c>
      <c r="AO50" s="5">
        <v>1555</v>
      </c>
      <c r="AP50" s="5">
        <v>2427</v>
      </c>
      <c r="AQ50" s="5"/>
      <c r="AT50" s="5">
        <v>0.28000000000000003</v>
      </c>
      <c r="AU50" s="5"/>
      <c r="AV50" s="5"/>
      <c r="AW50" s="5"/>
      <c r="AX50" s="5"/>
      <c r="BA50" s="5">
        <v>35</v>
      </c>
      <c r="BB50" s="5" t="s">
        <v>120</v>
      </c>
      <c r="BC50" s="5">
        <v>1534</v>
      </c>
      <c r="BD50" s="5">
        <v>698</v>
      </c>
      <c r="BE50" s="5"/>
      <c r="BH50" s="5">
        <v>37</v>
      </c>
      <c r="BI50" s="5" t="s">
        <v>118</v>
      </c>
      <c r="BJ50" s="5">
        <v>1579</v>
      </c>
      <c r="BK50" s="5">
        <v>122</v>
      </c>
      <c r="BL50" s="5"/>
      <c r="BO50" s="5">
        <v>37</v>
      </c>
      <c r="BP50" s="5" t="s">
        <v>123</v>
      </c>
      <c r="BQ50" s="5">
        <v>1460</v>
      </c>
      <c r="BR50" s="5">
        <v>115</v>
      </c>
      <c r="BS50" s="5"/>
      <c r="BV50" s="5">
        <v>35</v>
      </c>
      <c r="BW50" s="5" t="s">
        <v>119</v>
      </c>
      <c r="BX50" s="5"/>
      <c r="BY50" s="5">
        <v>163</v>
      </c>
      <c r="BZ50" s="5"/>
      <c r="CC50">
        <v>35</v>
      </c>
      <c r="CD50" t="s">
        <v>119</v>
      </c>
      <c r="CE50">
        <v>1577</v>
      </c>
      <c r="CF50">
        <v>90</v>
      </c>
      <c r="CJ50">
        <v>33</v>
      </c>
      <c r="CK50" t="s">
        <v>118</v>
      </c>
      <c r="CL50">
        <v>1739</v>
      </c>
      <c r="CM50">
        <v>861</v>
      </c>
      <c r="CQ50" s="5">
        <v>33</v>
      </c>
      <c r="CR50" s="5" t="s">
        <v>119</v>
      </c>
      <c r="CS50" s="5">
        <v>1759</v>
      </c>
      <c r="CT50" s="5">
        <v>2703</v>
      </c>
      <c r="CU50" s="5"/>
      <c r="CX50">
        <v>25</v>
      </c>
      <c r="CY50" t="s">
        <v>118</v>
      </c>
      <c r="CZ50">
        <v>1807</v>
      </c>
      <c r="DA50">
        <v>3256</v>
      </c>
      <c r="DD50">
        <v>22</v>
      </c>
      <c r="DE50" t="s">
        <v>121</v>
      </c>
      <c r="DF50">
        <v>1540</v>
      </c>
      <c r="DG50">
        <v>115</v>
      </c>
      <c r="DS50">
        <v>20</v>
      </c>
      <c r="DT50" t="s">
        <v>119</v>
      </c>
      <c r="DU50">
        <v>1843</v>
      </c>
      <c r="DV50">
        <v>1136</v>
      </c>
      <c r="DZ50">
        <v>23</v>
      </c>
      <c r="EA50" t="s">
        <v>122</v>
      </c>
      <c r="EB50">
        <v>1516</v>
      </c>
      <c r="EC50">
        <v>1033</v>
      </c>
    </row>
    <row r="51" spans="2:133" x14ac:dyDescent="0.25">
      <c r="B51" s="5">
        <v>30</v>
      </c>
      <c r="C51" s="5" t="s">
        <v>119</v>
      </c>
      <c r="D51" s="5">
        <v>1396</v>
      </c>
      <c r="E51" s="5">
        <v>299</v>
      </c>
      <c r="F51" s="5"/>
      <c r="H51" s="5">
        <v>32</v>
      </c>
      <c r="I51" s="5" t="s">
        <v>120</v>
      </c>
      <c r="J51" s="5">
        <v>1468</v>
      </c>
      <c r="K51" s="21">
        <v>608</v>
      </c>
      <c r="L51" s="5"/>
      <c r="P51" s="5">
        <v>30</v>
      </c>
      <c r="Q51" s="16" t="s">
        <v>118</v>
      </c>
      <c r="R51" s="11">
        <v>1366</v>
      </c>
      <c r="S51" s="15">
        <v>94</v>
      </c>
      <c r="T51" s="5"/>
      <c r="X51" s="5">
        <v>30</v>
      </c>
      <c r="Y51" s="16" t="s">
        <v>118</v>
      </c>
      <c r="Z51" s="11">
        <v>1527</v>
      </c>
      <c r="AA51" s="15">
        <v>3372</v>
      </c>
      <c r="AB51" s="5"/>
      <c r="AF51" s="5"/>
      <c r="AG51" s="13">
        <v>0.24</v>
      </c>
      <c r="AH51" s="11"/>
      <c r="AI51" s="15"/>
      <c r="AJ51" s="5"/>
      <c r="AM51" s="5">
        <v>31</v>
      </c>
      <c r="AN51" s="5" t="s">
        <v>121</v>
      </c>
      <c r="AO51" s="5">
        <v>1540</v>
      </c>
      <c r="AP51" s="5">
        <v>1745</v>
      </c>
      <c r="AQ51" s="5"/>
      <c r="AT51" s="5">
        <v>31</v>
      </c>
      <c r="AU51" s="5" t="s">
        <v>119</v>
      </c>
      <c r="AV51" s="5">
        <v>1511</v>
      </c>
      <c r="AW51" s="5">
        <v>1029</v>
      </c>
      <c r="AX51" s="5"/>
      <c r="BA51" s="5"/>
      <c r="BB51" s="5"/>
      <c r="BC51" s="5"/>
      <c r="BD51" s="6">
        <f>SUM(BD46:BD50)</f>
        <v>4472</v>
      </c>
      <c r="BE51" s="5"/>
      <c r="BH51" s="5">
        <v>38</v>
      </c>
      <c r="BI51" s="5" t="s">
        <v>118</v>
      </c>
      <c r="BJ51" s="5">
        <v>1614</v>
      </c>
      <c r="BK51" s="5">
        <v>2377</v>
      </c>
      <c r="BL51" s="5"/>
      <c r="BO51" s="5">
        <v>38</v>
      </c>
      <c r="BP51" s="5" t="s">
        <v>123</v>
      </c>
      <c r="BQ51" s="5">
        <v>1585</v>
      </c>
      <c r="BR51" s="5">
        <v>2877</v>
      </c>
      <c r="BS51" s="5"/>
      <c r="BV51" s="5">
        <v>36</v>
      </c>
      <c r="BW51" s="5" t="s">
        <v>119</v>
      </c>
      <c r="BX51" s="5">
        <v>1694</v>
      </c>
      <c r="BY51" s="5">
        <v>518</v>
      </c>
      <c r="BZ51" s="5"/>
      <c r="CC51">
        <v>36</v>
      </c>
      <c r="CD51" t="s">
        <v>124</v>
      </c>
      <c r="CE51">
        <v>1710</v>
      </c>
      <c r="CF51">
        <v>2002</v>
      </c>
      <c r="CM51">
        <v>2827</v>
      </c>
      <c r="CQ51" s="5">
        <v>34</v>
      </c>
      <c r="CR51" s="5" t="s">
        <v>119</v>
      </c>
      <c r="CS51" s="5">
        <v>1779</v>
      </c>
      <c r="CT51" s="5">
        <v>3263</v>
      </c>
      <c r="CU51" s="5"/>
      <c r="CX51">
        <v>26</v>
      </c>
      <c r="CY51" t="s">
        <v>118</v>
      </c>
      <c r="CZ51">
        <v>1735</v>
      </c>
      <c r="DA51">
        <v>127</v>
      </c>
      <c r="DD51">
        <v>23</v>
      </c>
      <c r="DE51" t="s">
        <v>124</v>
      </c>
      <c r="DF51">
        <v>1797</v>
      </c>
      <c r="DG51">
        <v>1334</v>
      </c>
      <c r="DL51">
        <v>0.24</v>
      </c>
      <c r="DS51">
        <v>21</v>
      </c>
      <c r="DT51" t="s">
        <v>120</v>
      </c>
      <c r="DU51">
        <v>1826</v>
      </c>
      <c r="DV51">
        <v>2501</v>
      </c>
      <c r="DZ51">
        <v>24</v>
      </c>
      <c r="EA51" t="s">
        <v>122</v>
      </c>
      <c r="EB51">
        <v>1544</v>
      </c>
      <c r="EC51">
        <v>262</v>
      </c>
    </row>
    <row r="52" spans="2:133" x14ac:dyDescent="0.25">
      <c r="B52" s="5">
        <v>31</v>
      </c>
      <c r="C52" s="5" t="s">
        <v>119</v>
      </c>
      <c r="D52" s="5">
        <v>1281</v>
      </c>
      <c r="E52" s="5">
        <v>130</v>
      </c>
      <c r="F52" s="5"/>
      <c r="H52" s="5">
        <v>33</v>
      </c>
      <c r="I52" s="5" t="s">
        <v>124</v>
      </c>
      <c r="J52" s="5">
        <v>1445</v>
      </c>
      <c r="K52" s="21">
        <v>103</v>
      </c>
      <c r="L52" s="5"/>
      <c r="P52" s="5">
        <v>31</v>
      </c>
      <c r="Q52" s="16" t="s">
        <v>119</v>
      </c>
      <c r="R52" s="11">
        <v>1469</v>
      </c>
      <c r="S52" s="15">
        <v>2620</v>
      </c>
      <c r="T52" s="5"/>
      <c r="X52" s="5">
        <v>31</v>
      </c>
      <c r="Y52" s="16" t="s">
        <v>119</v>
      </c>
      <c r="Z52" s="11">
        <v>1469</v>
      </c>
      <c r="AA52" s="15">
        <v>2620</v>
      </c>
      <c r="AB52" s="5"/>
      <c r="AF52" s="5">
        <v>31</v>
      </c>
      <c r="AG52" s="16" t="s">
        <v>118</v>
      </c>
      <c r="AH52" s="11">
        <v>1509</v>
      </c>
      <c r="AI52" s="15">
        <v>977</v>
      </c>
      <c r="AJ52" s="5"/>
      <c r="AM52" s="5">
        <v>32</v>
      </c>
      <c r="AN52" s="5" t="s">
        <v>119</v>
      </c>
      <c r="AO52" s="5">
        <v>1511</v>
      </c>
      <c r="AP52" s="5">
        <v>1063</v>
      </c>
      <c r="AQ52" s="5"/>
      <c r="AT52" s="5">
        <v>32</v>
      </c>
      <c r="AU52" s="5" t="s">
        <v>118</v>
      </c>
      <c r="AV52" s="5">
        <v>1555</v>
      </c>
      <c r="AW52" s="5">
        <v>2146</v>
      </c>
      <c r="AX52" s="5"/>
      <c r="BA52" s="5">
        <v>0.24</v>
      </c>
      <c r="BB52" s="5"/>
      <c r="BC52" s="5"/>
      <c r="BD52" s="5"/>
      <c r="BE52" s="5"/>
      <c r="BH52" s="5">
        <v>39</v>
      </c>
      <c r="BI52" s="5" t="s">
        <v>118</v>
      </c>
      <c r="BJ52" s="5">
        <v>1615</v>
      </c>
      <c r="BK52" s="5">
        <v>3005</v>
      </c>
      <c r="BL52" s="5"/>
      <c r="BO52" s="5">
        <v>39</v>
      </c>
      <c r="BP52" s="5" t="s">
        <v>124</v>
      </c>
      <c r="BQ52" s="5">
        <v>1538</v>
      </c>
      <c r="BR52" s="5">
        <v>90</v>
      </c>
      <c r="BS52" s="5"/>
      <c r="BV52" s="5">
        <v>37</v>
      </c>
      <c r="BW52" s="5" t="s">
        <v>253</v>
      </c>
      <c r="BX52" s="5">
        <v>1587</v>
      </c>
      <c r="BY52" s="5">
        <v>365</v>
      </c>
      <c r="BZ52" s="5"/>
      <c r="CC52">
        <v>37</v>
      </c>
      <c r="CD52" t="s">
        <v>122</v>
      </c>
      <c r="CE52">
        <v>1544</v>
      </c>
      <c r="CF52">
        <v>749</v>
      </c>
      <c r="CJ52">
        <v>0.2</v>
      </c>
      <c r="CQ52" s="5">
        <v>35</v>
      </c>
      <c r="CR52" s="5" t="s">
        <v>119</v>
      </c>
      <c r="CS52" s="5">
        <v>1716</v>
      </c>
      <c r="CT52" s="5">
        <v>178</v>
      </c>
      <c r="CU52" s="5"/>
      <c r="CX52">
        <v>27</v>
      </c>
      <c r="CY52" t="s">
        <v>118</v>
      </c>
      <c r="CZ52">
        <v>1774</v>
      </c>
      <c r="DA52">
        <v>144</v>
      </c>
      <c r="DG52">
        <f>SUM(DG42:DG51)</f>
        <v>3551</v>
      </c>
      <c r="DL52">
        <v>28</v>
      </c>
      <c r="DM52" t="s">
        <v>121</v>
      </c>
      <c r="DN52">
        <v>1810</v>
      </c>
      <c r="DO52">
        <v>168</v>
      </c>
      <c r="DS52">
        <v>22</v>
      </c>
      <c r="DT52" t="s">
        <v>120</v>
      </c>
      <c r="DU52">
        <v>1828</v>
      </c>
      <c r="DV52">
        <v>89</v>
      </c>
      <c r="DZ52">
        <v>25</v>
      </c>
      <c r="EA52" t="s">
        <v>120</v>
      </c>
      <c r="EB52">
        <v>1802</v>
      </c>
      <c r="EC52">
        <v>74</v>
      </c>
    </row>
    <row r="53" spans="2:133" x14ac:dyDescent="0.25">
      <c r="B53" s="5">
        <v>32</v>
      </c>
      <c r="C53" s="5" t="s">
        <v>119</v>
      </c>
      <c r="D53" s="5">
        <v>1335</v>
      </c>
      <c r="E53" s="5">
        <v>108</v>
      </c>
      <c r="F53" s="5"/>
      <c r="H53" s="6"/>
      <c r="I53" s="6"/>
      <c r="J53" s="6"/>
      <c r="K53" s="35">
        <f>SUM(K49:K52)</f>
        <v>4862</v>
      </c>
      <c r="L53" s="6"/>
      <c r="P53" s="5">
        <v>32</v>
      </c>
      <c r="Q53" s="16" t="s">
        <v>119</v>
      </c>
      <c r="R53" s="11">
        <v>1491</v>
      </c>
      <c r="S53" s="15">
        <v>2396</v>
      </c>
      <c r="T53" s="5"/>
      <c r="X53" s="5">
        <v>32</v>
      </c>
      <c r="Y53" s="16" t="s">
        <v>119</v>
      </c>
      <c r="Z53" s="11">
        <v>1491</v>
      </c>
      <c r="AA53" s="15">
        <v>2396</v>
      </c>
      <c r="AB53" s="5"/>
      <c r="AF53" s="5">
        <v>32</v>
      </c>
      <c r="AG53" s="16" t="s">
        <v>118</v>
      </c>
      <c r="AH53" s="11">
        <v>1527</v>
      </c>
      <c r="AI53" s="15">
        <v>1784</v>
      </c>
      <c r="AJ53" s="5"/>
      <c r="AM53" s="5"/>
      <c r="AN53" s="5"/>
      <c r="AO53" s="5"/>
      <c r="AP53" s="6">
        <f>SUM(AP45:AP52)</f>
        <v>6793</v>
      </c>
      <c r="AQ53" s="5"/>
      <c r="AT53" s="5">
        <v>33</v>
      </c>
      <c r="AU53" s="5" t="s">
        <v>118</v>
      </c>
      <c r="AV53" s="5">
        <v>1471</v>
      </c>
      <c r="AW53" s="5">
        <v>92</v>
      </c>
      <c r="AX53" s="5"/>
      <c r="BA53" s="5">
        <v>36</v>
      </c>
      <c r="BB53" s="5" t="s">
        <v>121</v>
      </c>
      <c r="BC53" s="5">
        <v>1587</v>
      </c>
      <c r="BD53" s="5">
        <v>2688</v>
      </c>
      <c r="BE53" s="5"/>
      <c r="BH53" s="5">
        <v>40</v>
      </c>
      <c r="BI53" s="5" t="s">
        <v>118</v>
      </c>
      <c r="BJ53" s="5">
        <v>1518</v>
      </c>
      <c r="BK53" s="5">
        <v>212</v>
      </c>
      <c r="BL53" s="5"/>
      <c r="BO53" s="5">
        <v>40</v>
      </c>
      <c r="BP53" s="5" t="s">
        <v>120</v>
      </c>
      <c r="BQ53" s="5">
        <v>1612</v>
      </c>
      <c r="BR53" s="5">
        <v>959</v>
      </c>
      <c r="BS53" s="5"/>
      <c r="BV53" s="5">
        <v>38</v>
      </c>
      <c r="BW53" s="5" t="s">
        <v>120</v>
      </c>
      <c r="BX53" s="5">
        <v>1692</v>
      </c>
      <c r="BY53" s="5">
        <v>3337</v>
      </c>
      <c r="BZ53" s="5"/>
      <c r="CC53">
        <v>38</v>
      </c>
      <c r="CD53" t="s">
        <v>122</v>
      </c>
      <c r="CE53">
        <v>1516</v>
      </c>
      <c r="CF53">
        <v>2882</v>
      </c>
      <c r="CJ53">
        <v>34</v>
      </c>
      <c r="CK53" t="s">
        <v>118</v>
      </c>
      <c r="CL53">
        <v>1766</v>
      </c>
      <c r="CM53">
        <v>2813</v>
      </c>
      <c r="CQ53" s="5">
        <v>36</v>
      </c>
      <c r="CR53" s="5" t="s">
        <v>119</v>
      </c>
      <c r="CS53" s="5">
        <v>1577</v>
      </c>
      <c r="CT53" s="5">
        <v>90</v>
      </c>
      <c r="CU53" s="5"/>
      <c r="CX53">
        <v>28</v>
      </c>
      <c r="CY53" t="s">
        <v>118</v>
      </c>
      <c r="CZ53">
        <v>1779</v>
      </c>
      <c r="DA53">
        <v>3263</v>
      </c>
      <c r="DL53">
        <v>29</v>
      </c>
      <c r="DM53" t="s">
        <v>119</v>
      </c>
      <c r="DN53">
        <v>1779</v>
      </c>
      <c r="DO53">
        <v>3263</v>
      </c>
      <c r="DS53">
        <v>23</v>
      </c>
      <c r="DT53" t="s">
        <v>118</v>
      </c>
      <c r="DU53">
        <v>1895</v>
      </c>
      <c r="DV53">
        <v>967</v>
      </c>
      <c r="DZ53">
        <v>26</v>
      </c>
      <c r="EA53" t="s">
        <v>124</v>
      </c>
      <c r="EB53">
        <v>1849</v>
      </c>
      <c r="EC53">
        <v>164</v>
      </c>
    </row>
    <row r="54" spans="2:133" x14ac:dyDescent="0.25">
      <c r="B54" s="5">
        <v>33</v>
      </c>
      <c r="C54" s="5" t="s">
        <v>119</v>
      </c>
      <c r="D54" s="5">
        <v>1318</v>
      </c>
      <c r="E54" s="5">
        <v>101</v>
      </c>
      <c r="F54" s="5"/>
      <c r="H54" s="6">
        <v>0.24</v>
      </c>
      <c r="I54" s="6"/>
      <c r="J54" s="6"/>
      <c r="K54" s="35"/>
      <c r="L54" s="6"/>
      <c r="P54" s="5">
        <v>33</v>
      </c>
      <c r="Q54" s="16" t="s">
        <v>119</v>
      </c>
      <c r="R54" s="11">
        <v>1492</v>
      </c>
      <c r="S54" s="15">
        <v>1367</v>
      </c>
      <c r="T54" s="5"/>
      <c r="X54" s="5">
        <v>33</v>
      </c>
      <c r="Y54" s="16" t="s">
        <v>119</v>
      </c>
      <c r="Z54" s="11">
        <v>1492</v>
      </c>
      <c r="AA54" s="15">
        <v>310</v>
      </c>
      <c r="AB54" s="5"/>
      <c r="AF54" s="5">
        <v>33</v>
      </c>
      <c r="AG54" s="16" t="s">
        <v>119</v>
      </c>
      <c r="AH54" s="11">
        <v>1469</v>
      </c>
      <c r="AI54" s="15">
        <v>2620</v>
      </c>
      <c r="AJ54" s="5"/>
      <c r="AM54" s="5">
        <v>0.24</v>
      </c>
      <c r="AN54" s="5"/>
      <c r="AO54" s="5"/>
      <c r="AP54" s="5"/>
      <c r="AQ54" s="5"/>
      <c r="AT54" s="5">
        <v>34</v>
      </c>
      <c r="AU54" s="5" t="s">
        <v>253</v>
      </c>
      <c r="AV54" s="5">
        <v>1540</v>
      </c>
      <c r="AW54" s="5">
        <v>1734</v>
      </c>
      <c r="AX54" s="5"/>
      <c r="BA54" s="5">
        <v>37</v>
      </c>
      <c r="BB54" s="5" t="s">
        <v>124</v>
      </c>
      <c r="BC54" s="5">
        <v>1588</v>
      </c>
      <c r="BD54" s="5">
        <v>3010</v>
      </c>
      <c r="BE54" s="5"/>
      <c r="BH54" s="5">
        <v>41</v>
      </c>
      <c r="BI54" s="5" t="s">
        <v>123</v>
      </c>
      <c r="BJ54" s="5">
        <v>1460</v>
      </c>
      <c r="BK54" s="5">
        <v>113</v>
      </c>
      <c r="BL54" s="5"/>
      <c r="BO54" s="5">
        <v>41</v>
      </c>
      <c r="BP54" s="5" t="s">
        <v>120</v>
      </c>
      <c r="BQ54" s="5">
        <v>1476</v>
      </c>
      <c r="BR54" s="5">
        <v>148</v>
      </c>
      <c r="BS54" s="5"/>
      <c r="BV54" s="5">
        <v>39</v>
      </c>
      <c r="BW54" s="5" t="s">
        <v>120</v>
      </c>
      <c r="BX54" s="5">
        <v>1688</v>
      </c>
      <c r="BY54" s="5">
        <v>714</v>
      </c>
      <c r="BZ54" s="5"/>
      <c r="CC54">
        <v>39</v>
      </c>
      <c r="CD54" t="s">
        <v>123</v>
      </c>
      <c r="CE54">
        <v>1657</v>
      </c>
      <c r="CF54">
        <v>272</v>
      </c>
      <c r="CJ54">
        <v>35</v>
      </c>
      <c r="CK54" t="s">
        <v>119</v>
      </c>
      <c r="CL54">
        <v>1563</v>
      </c>
      <c r="CM54">
        <v>83</v>
      </c>
      <c r="CQ54" s="5">
        <v>37</v>
      </c>
      <c r="CR54" s="5" t="s">
        <v>120</v>
      </c>
      <c r="CS54" s="5">
        <v>1775</v>
      </c>
      <c r="CT54" s="5">
        <v>925</v>
      </c>
      <c r="CU54" s="5"/>
      <c r="CX54">
        <v>29</v>
      </c>
      <c r="CY54" t="s">
        <v>119</v>
      </c>
      <c r="CZ54">
        <v>1759</v>
      </c>
      <c r="DA54">
        <v>164</v>
      </c>
      <c r="DD54">
        <v>0.24</v>
      </c>
      <c r="DL54">
        <v>30</v>
      </c>
      <c r="DM54" t="s">
        <v>119</v>
      </c>
      <c r="DN54">
        <v>1577</v>
      </c>
      <c r="DO54">
        <v>90</v>
      </c>
      <c r="DT54" t="s">
        <v>118</v>
      </c>
      <c r="DU54">
        <v>1853</v>
      </c>
      <c r="DV54">
        <v>1184</v>
      </c>
      <c r="DZ54">
        <v>27</v>
      </c>
      <c r="EA54" t="s">
        <v>120</v>
      </c>
      <c r="EB54">
        <v>1875</v>
      </c>
      <c r="EC54">
        <v>822</v>
      </c>
    </row>
    <row r="55" spans="2:133" x14ac:dyDescent="0.25">
      <c r="B55" s="5">
        <v>34</v>
      </c>
      <c r="C55" s="5" t="s">
        <v>120</v>
      </c>
      <c r="D55" s="5">
        <v>1336</v>
      </c>
      <c r="E55" s="5">
        <v>177</v>
      </c>
      <c r="F55" s="5"/>
      <c r="H55" s="5">
        <v>34</v>
      </c>
      <c r="I55" s="5" t="s">
        <v>119</v>
      </c>
      <c r="J55" s="5">
        <v>1491</v>
      </c>
      <c r="K55" s="21">
        <v>2396</v>
      </c>
      <c r="L55" s="5"/>
      <c r="P55" s="5">
        <v>34</v>
      </c>
      <c r="Q55" s="16" t="s">
        <v>119</v>
      </c>
      <c r="R55" s="11">
        <v>1493</v>
      </c>
      <c r="S55" s="15">
        <v>2290</v>
      </c>
      <c r="T55" s="5"/>
      <c r="X55" s="5">
        <v>34</v>
      </c>
      <c r="Y55" s="16" t="s">
        <v>119</v>
      </c>
      <c r="Z55" s="11">
        <v>1493</v>
      </c>
      <c r="AA55" s="15">
        <v>2290</v>
      </c>
      <c r="AB55" s="5"/>
      <c r="AF55" s="5">
        <v>34</v>
      </c>
      <c r="AG55" s="16" t="s">
        <v>119</v>
      </c>
      <c r="AH55" s="11">
        <v>1491</v>
      </c>
      <c r="AI55" s="15">
        <v>1859</v>
      </c>
      <c r="AJ55" s="5"/>
      <c r="AM55" s="5">
        <v>33</v>
      </c>
      <c r="AN55" s="5" t="s">
        <v>119</v>
      </c>
      <c r="AO55" s="5">
        <v>1556</v>
      </c>
      <c r="AP55" s="5">
        <v>3192</v>
      </c>
      <c r="AQ55" s="5"/>
      <c r="AT55" s="5">
        <v>35</v>
      </c>
      <c r="AU55" s="5" t="s">
        <v>120</v>
      </c>
      <c r="AV55" s="5">
        <v>1534</v>
      </c>
      <c r="AW55" s="5">
        <v>851</v>
      </c>
      <c r="AX55" s="5"/>
      <c r="BA55" s="5">
        <v>38</v>
      </c>
      <c r="BB55" s="5" t="s">
        <v>122</v>
      </c>
      <c r="BC55" s="5">
        <v>1566</v>
      </c>
      <c r="BD55" s="5">
        <v>3402</v>
      </c>
      <c r="BE55" s="5"/>
      <c r="BH55" s="5">
        <v>42</v>
      </c>
      <c r="BI55" s="5" t="s">
        <v>123</v>
      </c>
      <c r="BJ55" s="5">
        <v>1585</v>
      </c>
      <c r="BK55" s="5">
        <v>2957</v>
      </c>
      <c r="BL55" s="5"/>
      <c r="BO55" s="5">
        <v>42</v>
      </c>
      <c r="BP55" s="5" t="s">
        <v>120</v>
      </c>
      <c r="BQ55" s="5">
        <v>1425</v>
      </c>
      <c r="BR55" s="5">
        <v>77</v>
      </c>
      <c r="BS55" s="5"/>
      <c r="BV55" s="5">
        <v>40</v>
      </c>
      <c r="BW55" s="5" t="s">
        <v>118</v>
      </c>
      <c r="BX55" s="5">
        <v>1667</v>
      </c>
      <c r="BY55" s="5">
        <v>324</v>
      </c>
      <c r="BZ55" s="5"/>
      <c r="CC55">
        <v>40</v>
      </c>
      <c r="CD55" t="s">
        <v>123</v>
      </c>
      <c r="CE55">
        <v>1718</v>
      </c>
      <c r="CF55">
        <v>2752</v>
      </c>
      <c r="CJ55">
        <v>36</v>
      </c>
      <c r="CK55" t="s">
        <v>119</v>
      </c>
      <c r="CL55">
        <v>1714</v>
      </c>
      <c r="CM55">
        <v>917</v>
      </c>
      <c r="CQ55" s="5">
        <v>38</v>
      </c>
      <c r="CR55" s="5" t="s">
        <v>120</v>
      </c>
      <c r="CS55" s="5">
        <v>1715</v>
      </c>
      <c r="CT55" s="5">
        <v>587</v>
      </c>
      <c r="CU55" s="5"/>
      <c r="CX55">
        <v>30</v>
      </c>
      <c r="CY55" t="s">
        <v>119</v>
      </c>
      <c r="CZ55">
        <v>1823</v>
      </c>
      <c r="DA55">
        <v>2695</v>
      </c>
      <c r="DD55">
        <v>24</v>
      </c>
      <c r="DE55" t="s">
        <v>119</v>
      </c>
      <c r="DF55">
        <v>1779</v>
      </c>
      <c r="DG55">
        <v>3263</v>
      </c>
      <c r="DL55">
        <v>31</v>
      </c>
      <c r="DM55" t="s">
        <v>119</v>
      </c>
      <c r="DN55">
        <v>1823</v>
      </c>
      <c r="DO55">
        <v>261</v>
      </c>
      <c r="DS55">
        <v>24</v>
      </c>
      <c r="DT55" t="s">
        <v>124</v>
      </c>
      <c r="DU55">
        <v>1889</v>
      </c>
      <c r="DV55">
        <v>1082</v>
      </c>
      <c r="DZ55">
        <v>28</v>
      </c>
      <c r="EA55" t="s">
        <v>122</v>
      </c>
      <c r="EB55">
        <v>1882</v>
      </c>
      <c r="EC55">
        <v>3279</v>
      </c>
    </row>
    <row r="56" spans="2:133" x14ac:dyDescent="0.25">
      <c r="B56" s="5">
        <v>35</v>
      </c>
      <c r="C56" s="5" t="s">
        <v>129</v>
      </c>
      <c r="D56" s="5">
        <v>1285</v>
      </c>
      <c r="E56" s="5">
        <v>166</v>
      </c>
      <c r="F56" s="5"/>
      <c r="H56" s="5">
        <v>35</v>
      </c>
      <c r="I56" s="5" t="s">
        <v>119</v>
      </c>
      <c r="J56" s="5">
        <v>1469</v>
      </c>
      <c r="K56" s="21">
        <v>2620</v>
      </c>
      <c r="L56" s="5"/>
      <c r="P56" s="5">
        <v>35</v>
      </c>
      <c r="Q56" s="16" t="s">
        <v>119</v>
      </c>
      <c r="R56" s="11">
        <v>1396</v>
      </c>
      <c r="S56" s="15">
        <v>205</v>
      </c>
      <c r="T56" s="5"/>
      <c r="X56" s="5">
        <v>35</v>
      </c>
      <c r="Y56" s="16" t="s">
        <v>119</v>
      </c>
      <c r="Z56" s="11">
        <v>1396</v>
      </c>
      <c r="AA56" s="15">
        <v>205</v>
      </c>
      <c r="AB56" s="5"/>
      <c r="AF56" s="5">
        <v>35</v>
      </c>
      <c r="AG56" s="16" t="s">
        <v>119</v>
      </c>
      <c r="AH56" s="11">
        <v>1396</v>
      </c>
      <c r="AI56" s="15">
        <v>205</v>
      </c>
      <c r="AJ56" s="5"/>
      <c r="AM56" s="5">
        <v>34</v>
      </c>
      <c r="AN56" s="5" t="s">
        <v>119</v>
      </c>
      <c r="AO56" s="5">
        <v>1557</v>
      </c>
      <c r="AP56" s="5">
        <v>3301</v>
      </c>
      <c r="AQ56" s="5"/>
      <c r="AT56" s="5"/>
      <c r="AU56" s="5"/>
      <c r="AV56" s="5"/>
      <c r="AW56" s="6">
        <f>SUM(AW51:AW55)</f>
        <v>5852</v>
      </c>
      <c r="AX56" s="5"/>
      <c r="BA56" s="5">
        <v>39</v>
      </c>
      <c r="BB56" s="5" t="s">
        <v>129</v>
      </c>
      <c r="BC56" s="5">
        <v>1580</v>
      </c>
      <c r="BD56" s="5">
        <v>1198</v>
      </c>
      <c r="BE56" s="5"/>
      <c r="BH56" s="5">
        <v>43</v>
      </c>
      <c r="BI56" s="5" t="s">
        <v>124</v>
      </c>
      <c r="BJ56" s="5">
        <v>1538</v>
      </c>
      <c r="BK56" s="5">
        <v>90</v>
      </c>
      <c r="BL56" s="5"/>
      <c r="BO56" s="5">
        <v>43</v>
      </c>
      <c r="BP56" s="5" t="s">
        <v>122</v>
      </c>
      <c r="BQ56" s="5">
        <v>1516</v>
      </c>
      <c r="BR56" s="5">
        <v>3434</v>
      </c>
      <c r="BS56" s="5"/>
      <c r="BV56" s="5"/>
      <c r="BW56" s="5"/>
      <c r="BX56" s="5"/>
      <c r="BY56" s="5">
        <f>SUM(BY42:BY55)</f>
        <v>15553</v>
      </c>
      <c r="BZ56" s="5"/>
      <c r="CC56">
        <v>41</v>
      </c>
      <c r="CD56" t="s">
        <v>253</v>
      </c>
      <c r="CE56">
        <v>1732</v>
      </c>
      <c r="CF56">
        <v>1444</v>
      </c>
      <c r="CJ56">
        <v>37</v>
      </c>
      <c r="CK56" t="s">
        <v>253</v>
      </c>
      <c r="CL56">
        <v>1711</v>
      </c>
      <c r="CM56">
        <v>293</v>
      </c>
      <c r="CQ56" s="5">
        <v>39</v>
      </c>
      <c r="CR56" s="5" t="s">
        <v>118</v>
      </c>
      <c r="CS56" s="5">
        <v>1735</v>
      </c>
      <c r="CT56" s="5">
        <v>135</v>
      </c>
      <c r="CU56" s="5"/>
      <c r="CX56">
        <v>31</v>
      </c>
      <c r="CY56" t="s">
        <v>119</v>
      </c>
      <c r="CZ56">
        <v>1716</v>
      </c>
      <c r="DA56">
        <v>178</v>
      </c>
      <c r="DD56">
        <v>25</v>
      </c>
      <c r="DE56" t="s">
        <v>119</v>
      </c>
      <c r="DF56">
        <v>1577</v>
      </c>
      <c r="DG56">
        <v>90</v>
      </c>
      <c r="DL56">
        <v>32</v>
      </c>
      <c r="DM56" t="s">
        <v>118</v>
      </c>
      <c r="DN56">
        <v>1845</v>
      </c>
      <c r="DO56">
        <v>282</v>
      </c>
      <c r="DT56" t="s">
        <v>253</v>
      </c>
      <c r="DU56">
        <v>1540</v>
      </c>
      <c r="DV56">
        <v>115</v>
      </c>
      <c r="DZ56">
        <v>29</v>
      </c>
      <c r="EA56" t="s">
        <v>119</v>
      </c>
      <c r="EB56">
        <v>1888</v>
      </c>
      <c r="EC56">
        <v>1683</v>
      </c>
    </row>
    <row r="57" spans="2:133" x14ac:dyDescent="0.25">
      <c r="B57" s="5"/>
      <c r="C57" s="5"/>
      <c r="D57" s="5"/>
      <c r="E57" s="5"/>
      <c r="F57" s="5"/>
      <c r="H57" s="5"/>
      <c r="I57" s="5"/>
      <c r="J57" s="5"/>
      <c r="K57" s="21"/>
      <c r="L57" s="5"/>
      <c r="P57" s="5"/>
      <c r="Q57" s="16"/>
      <c r="R57" s="11"/>
      <c r="S57" s="15"/>
      <c r="T57" s="5"/>
      <c r="X57" s="5"/>
      <c r="Y57" s="16"/>
      <c r="Z57" s="11"/>
      <c r="AA57" s="15"/>
      <c r="AB57" s="5"/>
      <c r="AF57" s="5"/>
      <c r="AG57" s="16"/>
      <c r="AH57" s="11"/>
      <c r="AI57" s="15"/>
      <c r="AJ57" s="5"/>
      <c r="AM57" s="5"/>
      <c r="AN57" s="5"/>
      <c r="AO57" s="5"/>
      <c r="AP57" s="5"/>
      <c r="AQ57" s="5"/>
      <c r="AT57" s="5"/>
      <c r="AU57" s="5"/>
      <c r="AV57" s="5"/>
      <c r="AW57" s="6"/>
      <c r="AX57" s="5"/>
      <c r="BA57" s="5"/>
      <c r="BB57" s="5"/>
      <c r="BC57" s="5"/>
      <c r="BD57" s="5"/>
      <c r="BE57" s="5"/>
      <c r="BH57" s="5">
        <v>44</v>
      </c>
      <c r="BI57" s="5" t="s">
        <v>120</v>
      </c>
      <c r="BJ57" s="5">
        <v>1612</v>
      </c>
      <c r="BK57" s="5">
        <v>3024</v>
      </c>
      <c r="BL57" s="5"/>
      <c r="BO57" s="5">
        <v>44</v>
      </c>
      <c r="BP57" s="5" t="s">
        <v>122</v>
      </c>
      <c r="BQ57" s="5">
        <v>1544</v>
      </c>
      <c r="BR57" s="5">
        <v>1985</v>
      </c>
      <c r="BS57" s="5"/>
      <c r="BV57" s="5">
        <v>0.22</v>
      </c>
      <c r="BW57" s="5"/>
      <c r="BX57" s="5"/>
      <c r="BY57" s="5"/>
      <c r="BZ57" s="5"/>
      <c r="CF57">
        <v>23653</v>
      </c>
      <c r="CJ57">
        <v>38</v>
      </c>
      <c r="CK57" t="s">
        <v>253</v>
      </c>
      <c r="CL57">
        <v>1721</v>
      </c>
      <c r="CM57">
        <v>146</v>
      </c>
      <c r="CQ57" s="5">
        <v>40</v>
      </c>
      <c r="CR57" s="5" t="s">
        <v>253</v>
      </c>
      <c r="CS57" s="5">
        <v>1752</v>
      </c>
      <c r="CT57" s="5">
        <v>89</v>
      </c>
      <c r="CU57" s="5"/>
      <c r="CX57">
        <v>32</v>
      </c>
      <c r="CY57" t="s">
        <v>119</v>
      </c>
      <c r="CZ57">
        <v>1577</v>
      </c>
      <c r="DA57">
        <v>90</v>
      </c>
      <c r="DD57">
        <v>26</v>
      </c>
      <c r="DE57" t="s">
        <v>119</v>
      </c>
      <c r="DF57">
        <v>1823</v>
      </c>
      <c r="DG57">
        <v>775</v>
      </c>
      <c r="DL57">
        <v>33</v>
      </c>
      <c r="DM57" t="s">
        <v>118</v>
      </c>
      <c r="DN57">
        <v>1844</v>
      </c>
      <c r="DO57">
        <v>1563</v>
      </c>
      <c r="DS57">
        <v>25</v>
      </c>
      <c r="DT57" t="s">
        <v>253</v>
      </c>
      <c r="DU57">
        <v>1867</v>
      </c>
      <c r="DV57">
        <v>2011</v>
      </c>
      <c r="DZ57">
        <v>30</v>
      </c>
      <c r="EA57" t="s">
        <v>253</v>
      </c>
      <c r="EB57">
        <v>1890</v>
      </c>
      <c r="EC57">
        <v>2262</v>
      </c>
    </row>
    <row r="58" spans="2:133" x14ac:dyDescent="0.25">
      <c r="B58" s="5"/>
      <c r="C58" s="5"/>
      <c r="D58" s="5"/>
      <c r="E58" s="5"/>
      <c r="F58" s="5"/>
      <c r="H58" s="5"/>
      <c r="I58" s="5"/>
      <c r="J58" s="5"/>
      <c r="K58" s="21"/>
      <c r="L58" s="5"/>
      <c r="P58" s="5"/>
      <c r="Q58" s="16"/>
      <c r="R58" s="11"/>
      <c r="S58" s="15"/>
      <c r="T58" s="5"/>
      <c r="X58" s="5"/>
      <c r="Y58" s="16"/>
      <c r="Z58" s="11"/>
      <c r="AA58" s="15"/>
      <c r="AB58" s="5"/>
      <c r="AF58" s="5"/>
      <c r="AG58" s="16"/>
      <c r="AH58" s="11"/>
      <c r="AI58" s="15"/>
      <c r="AJ58" s="5"/>
      <c r="AM58" s="5"/>
      <c r="AN58" s="5"/>
      <c r="AO58" s="5"/>
      <c r="AP58" s="5"/>
      <c r="AQ58" s="5"/>
      <c r="AT58" s="5"/>
      <c r="AU58" s="5"/>
      <c r="AV58" s="5"/>
      <c r="AW58" s="6"/>
      <c r="AX58" s="5"/>
      <c r="BA58" s="5"/>
      <c r="BB58" s="5"/>
      <c r="BC58" s="5"/>
      <c r="BD58" s="5"/>
      <c r="BE58" s="5"/>
      <c r="BH58" s="5">
        <v>45</v>
      </c>
      <c r="BI58" s="5" t="s">
        <v>120</v>
      </c>
      <c r="BJ58" s="5">
        <v>1476</v>
      </c>
      <c r="BK58" s="5">
        <v>625</v>
      </c>
      <c r="BL58" s="5"/>
      <c r="BO58" s="5">
        <v>45</v>
      </c>
      <c r="BP58" s="5" t="s">
        <v>122</v>
      </c>
      <c r="BQ58" s="5">
        <v>1389</v>
      </c>
      <c r="BR58" s="5">
        <v>348</v>
      </c>
      <c r="BS58" s="5"/>
      <c r="BV58" s="5">
        <v>41</v>
      </c>
      <c r="BW58" s="5" t="s">
        <v>119</v>
      </c>
      <c r="BX58" s="5">
        <v>1335</v>
      </c>
      <c r="BY58" s="5">
        <v>102</v>
      </c>
      <c r="BZ58" s="5"/>
      <c r="CC58">
        <v>0.22</v>
      </c>
      <c r="CJ58">
        <v>39</v>
      </c>
      <c r="CK58" t="s">
        <v>253</v>
      </c>
      <c r="CL58">
        <v>1747</v>
      </c>
      <c r="CM58">
        <v>2538</v>
      </c>
      <c r="CQ58" s="5">
        <v>41</v>
      </c>
      <c r="CR58" s="5" t="s">
        <v>118</v>
      </c>
      <c r="CS58" s="5">
        <v>1774</v>
      </c>
      <c r="CT58" s="5">
        <v>3113</v>
      </c>
      <c r="CU58" s="5"/>
      <c r="CX58">
        <v>33</v>
      </c>
      <c r="CY58" t="s">
        <v>129</v>
      </c>
      <c r="CZ58">
        <v>1643</v>
      </c>
      <c r="DA58">
        <v>102</v>
      </c>
      <c r="DD58">
        <v>27</v>
      </c>
      <c r="DE58" t="s">
        <v>120</v>
      </c>
      <c r="DF58">
        <v>1818</v>
      </c>
      <c r="DG58">
        <v>3141</v>
      </c>
      <c r="DL58">
        <v>34</v>
      </c>
      <c r="DM58" t="s">
        <v>118</v>
      </c>
      <c r="DN58">
        <v>1807</v>
      </c>
      <c r="DO58">
        <v>521</v>
      </c>
      <c r="DV58">
        <f>SUM(DV46:DV57)</f>
        <v>12392</v>
      </c>
      <c r="DZ58">
        <v>31</v>
      </c>
      <c r="EA58" t="s">
        <v>253</v>
      </c>
      <c r="EB58">
        <v>1810</v>
      </c>
      <c r="EC58">
        <v>168</v>
      </c>
    </row>
    <row r="59" spans="2:133" x14ac:dyDescent="0.25">
      <c r="B59" s="5">
        <v>36</v>
      </c>
      <c r="C59" s="5" t="s">
        <v>122</v>
      </c>
      <c r="D59" s="5">
        <v>1329</v>
      </c>
      <c r="E59" s="5">
        <v>111</v>
      </c>
      <c r="F59" s="5"/>
      <c r="H59" s="5">
        <v>36</v>
      </c>
      <c r="I59" s="5" t="s">
        <v>119</v>
      </c>
      <c r="J59" s="5">
        <v>1492</v>
      </c>
      <c r="K59" s="21">
        <v>2433</v>
      </c>
      <c r="L59" s="5"/>
      <c r="P59" s="5">
        <v>36</v>
      </c>
      <c r="Q59" s="16" t="s">
        <v>119</v>
      </c>
      <c r="R59" s="11">
        <v>1440</v>
      </c>
      <c r="S59" s="15">
        <v>164</v>
      </c>
      <c r="T59" s="5"/>
      <c r="X59" s="5">
        <v>36</v>
      </c>
      <c r="Y59" s="16" t="s">
        <v>119</v>
      </c>
      <c r="Z59" s="11">
        <v>1440</v>
      </c>
      <c r="AA59" s="15">
        <v>164</v>
      </c>
      <c r="AB59" s="5"/>
      <c r="AF59" s="5">
        <v>36</v>
      </c>
      <c r="AG59" s="16" t="s">
        <v>119</v>
      </c>
      <c r="AH59" s="11">
        <v>1440</v>
      </c>
      <c r="AI59" s="15">
        <v>164</v>
      </c>
      <c r="AJ59" s="5"/>
      <c r="AM59" s="5">
        <v>35</v>
      </c>
      <c r="AN59" s="5" t="s">
        <v>119</v>
      </c>
      <c r="AO59" s="5">
        <v>1396</v>
      </c>
      <c r="AP59" s="5">
        <v>205</v>
      </c>
      <c r="AQ59" s="5"/>
      <c r="AT59" s="5">
        <v>0.24</v>
      </c>
      <c r="AU59" s="5"/>
      <c r="AV59" s="5"/>
      <c r="AW59" s="5"/>
      <c r="AX59" s="5"/>
      <c r="BA59" s="5">
        <v>40</v>
      </c>
      <c r="BB59" s="5" t="s">
        <v>119</v>
      </c>
      <c r="BC59" s="5">
        <v>1578</v>
      </c>
      <c r="BD59" s="5">
        <v>3181</v>
      </c>
      <c r="BE59" s="5"/>
      <c r="BH59" s="5">
        <v>46</v>
      </c>
      <c r="BI59" s="5" t="s">
        <v>120</v>
      </c>
      <c r="BJ59" s="5">
        <v>1485</v>
      </c>
      <c r="BK59" s="5">
        <v>139</v>
      </c>
      <c r="BL59" s="5"/>
      <c r="BO59" s="5">
        <v>46</v>
      </c>
      <c r="BP59" s="5" t="s">
        <v>122</v>
      </c>
      <c r="BQ59" s="5">
        <v>1417</v>
      </c>
      <c r="BR59" s="5">
        <v>124</v>
      </c>
      <c r="BS59" s="5"/>
      <c r="BV59" s="5"/>
      <c r="BW59" s="5"/>
      <c r="BX59" s="5"/>
      <c r="BY59" s="5">
        <f>SUM(BY58)</f>
        <v>102</v>
      </c>
      <c r="BZ59" s="5"/>
      <c r="CC59">
        <v>42</v>
      </c>
      <c r="CD59" t="s">
        <v>119</v>
      </c>
      <c r="CE59">
        <v>1736</v>
      </c>
      <c r="CF59">
        <v>3235</v>
      </c>
      <c r="CJ59">
        <v>40</v>
      </c>
      <c r="CK59" t="s">
        <v>123</v>
      </c>
      <c r="CL59">
        <v>1717</v>
      </c>
      <c r="CM59">
        <v>2299</v>
      </c>
      <c r="CQ59" s="5"/>
      <c r="CR59" s="5"/>
      <c r="CS59" s="5"/>
      <c r="CT59" s="5">
        <f>SUM(CT47:CT58)</f>
        <v>14583</v>
      </c>
      <c r="CU59" s="5"/>
      <c r="CX59">
        <v>34</v>
      </c>
      <c r="CY59" t="s">
        <v>124</v>
      </c>
      <c r="CZ59">
        <v>1797</v>
      </c>
      <c r="DA59">
        <v>2139</v>
      </c>
      <c r="DD59">
        <v>28</v>
      </c>
      <c r="DE59" t="s">
        <v>120</v>
      </c>
      <c r="DF59">
        <v>1802</v>
      </c>
      <c r="DG59">
        <v>130</v>
      </c>
      <c r="DL59">
        <v>35</v>
      </c>
      <c r="DM59" t="s">
        <v>123</v>
      </c>
      <c r="DN59">
        <v>1841</v>
      </c>
      <c r="DO59">
        <v>1688</v>
      </c>
      <c r="DZ59">
        <v>32</v>
      </c>
      <c r="EA59" t="s">
        <v>124</v>
      </c>
      <c r="EB59">
        <v>1908</v>
      </c>
      <c r="EC59">
        <v>3428</v>
      </c>
    </row>
    <row r="60" spans="2:133" x14ac:dyDescent="0.25">
      <c r="B60" s="5">
        <v>37</v>
      </c>
      <c r="C60" s="5" t="s">
        <v>122</v>
      </c>
      <c r="D60" s="5">
        <v>1389</v>
      </c>
      <c r="E60" s="5">
        <v>1044</v>
      </c>
      <c r="F60" s="5"/>
      <c r="H60" s="5">
        <v>37</v>
      </c>
      <c r="I60" s="5" t="s">
        <v>119</v>
      </c>
      <c r="J60" s="5">
        <v>1493</v>
      </c>
      <c r="K60" s="21">
        <v>2290</v>
      </c>
      <c r="L60" s="5"/>
      <c r="P60" s="5">
        <v>37</v>
      </c>
      <c r="Q60" s="16" t="s">
        <v>119</v>
      </c>
      <c r="R60" s="11">
        <v>1281</v>
      </c>
      <c r="S60" s="15">
        <v>130</v>
      </c>
      <c r="T60" s="5"/>
      <c r="X60" s="5">
        <v>37</v>
      </c>
      <c r="Y60" s="16" t="s">
        <v>119</v>
      </c>
      <c r="Z60" s="11">
        <v>1281</v>
      </c>
      <c r="AA60" s="15">
        <v>130</v>
      </c>
      <c r="AB60" s="5"/>
      <c r="AF60" s="5">
        <v>37</v>
      </c>
      <c r="AG60" s="16" t="s">
        <v>119</v>
      </c>
      <c r="AH60" s="11">
        <v>1281</v>
      </c>
      <c r="AI60" s="15">
        <v>130</v>
      </c>
      <c r="AJ60" s="5"/>
      <c r="AM60" s="5">
        <v>36</v>
      </c>
      <c r="AN60" s="5" t="s">
        <v>119</v>
      </c>
      <c r="AO60" s="5">
        <v>1469</v>
      </c>
      <c r="AP60" s="5">
        <v>644</v>
      </c>
      <c r="AQ60" s="5"/>
      <c r="AT60" s="5">
        <v>36</v>
      </c>
      <c r="AU60" s="5" t="s">
        <v>119</v>
      </c>
      <c r="AV60" s="5">
        <v>1557</v>
      </c>
      <c r="AW60" s="5">
        <v>2253</v>
      </c>
      <c r="AX60" s="5"/>
      <c r="BA60" s="5">
        <v>41</v>
      </c>
      <c r="BB60" s="5" t="s">
        <v>119</v>
      </c>
      <c r="BC60" s="5">
        <v>1582</v>
      </c>
      <c r="BD60" s="5">
        <v>2417</v>
      </c>
      <c r="BE60" s="5"/>
      <c r="BH60" s="5">
        <v>47</v>
      </c>
      <c r="BI60" s="5" t="s">
        <v>122</v>
      </c>
      <c r="BJ60" s="5">
        <v>1516</v>
      </c>
      <c r="BK60" s="5">
        <v>3402</v>
      </c>
      <c r="BL60" s="5"/>
      <c r="BO60" s="5"/>
      <c r="BP60" s="5"/>
      <c r="BQ60" s="5"/>
      <c r="BR60" s="6">
        <f>SUM(BR42:BR59)</f>
        <v>16626</v>
      </c>
      <c r="BS60" s="5"/>
      <c r="BV60" s="5">
        <v>0.2</v>
      </c>
      <c r="BW60" s="5"/>
      <c r="BX60" s="5"/>
      <c r="BY60" s="5"/>
      <c r="BZ60" s="5"/>
      <c r="CC60">
        <v>43</v>
      </c>
      <c r="CD60" t="s">
        <v>119</v>
      </c>
      <c r="CE60">
        <v>1512</v>
      </c>
      <c r="CF60">
        <v>645</v>
      </c>
      <c r="CJ60">
        <v>41</v>
      </c>
      <c r="CK60" t="s">
        <v>122</v>
      </c>
      <c r="CL60">
        <v>1600</v>
      </c>
      <c r="CM60">
        <v>2178</v>
      </c>
      <c r="CQ60" s="5">
        <v>0.22</v>
      </c>
      <c r="CR60" s="5"/>
      <c r="CS60" s="5"/>
      <c r="CT60" s="5"/>
      <c r="CU60" s="5"/>
      <c r="CX60">
        <v>35</v>
      </c>
      <c r="CY60" t="s">
        <v>124</v>
      </c>
      <c r="CZ60">
        <v>1768</v>
      </c>
      <c r="DA60">
        <v>1973</v>
      </c>
      <c r="DD60">
        <v>29</v>
      </c>
      <c r="DE60" t="s">
        <v>121</v>
      </c>
      <c r="DF60">
        <v>1810</v>
      </c>
      <c r="DG60">
        <v>1204</v>
      </c>
      <c r="DL60">
        <v>36</v>
      </c>
      <c r="DM60" t="s">
        <v>124</v>
      </c>
      <c r="DN60">
        <v>1849</v>
      </c>
      <c r="DO60">
        <v>3248</v>
      </c>
      <c r="DS60">
        <v>0.24</v>
      </c>
      <c r="DZ60">
        <v>33</v>
      </c>
      <c r="EA60" t="s">
        <v>118</v>
      </c>
      <c r="EB60">
        <v>1909</v>
      </c>
      <c r="EC60">
        <v>1074</v>
      </c>
    </row>
    <row r="61" spans="2:133" x14ac:dyDescent="0.25">
      <c r="B61" s="5"/>
      <c r="C61" s="5"/>
      <c r="D61" s="5"/>
      <c r="E61" s="6">
        <f>SUM(E46:E60)</f>
        <v>6240</v>
      </c>
      <c r="F61" s="5"/>
      <c r="H61" s="5">
        <v>38</v>
      </c>
      <c r="I61" s="5" t="s">
        <v>119</v>
      </c>
      <c r="J61" s="5">
        <v>1427</v>
      </c>
      <c r="K61" s="21">
        <v>904</v>
      </c>
      <c r="L61" s="5"/>
      <c r="P61" s="5">
        <v>38</v>
      </c>
      <c r="Q61" s="16" t="s">
        <v>120</v>
      </c>
      <c r="R61" s="11">
        <v>1495</v>
      </c>
      <c r="S61" s="15">
        <v>3053</v>
      </c>
      <c r="T61" s="5"/>
      <c r="X61" s="5">
        <v>38</v>
      </c>
      <c r="Y61" s="16" t="s">
        <v>120</v>
      </c>
      <c r="Z61" s="11">
        <v>1495</v>
      </c>
      <c r="AA61" s="15">
        <v>3053</v>
      </c>
      <c r="AB61" s="5"/>
      <c r="AF61" s="5">
        <v>38</v>
      </c>
      <c r="AG61" s="16" t="s">
        <v>120</v>
      </c>
      <c r="AH61" s="11">
        <v>1495</v>
      </c>
      <c r="AI61" s="15">
        <v>3053</v>
      </c>
      <c r="AJ61" s="5"/>
      <c r="AM61" s="5">
        <v>37</v>
      </c>
      <c r="AN61" s="5" t="s">
        <v>119</v>
      </c>
      <c r="AO61" s="5">
        <v>1491</v>
      </c>
      <c r="AP61" s="5">
        <v>546</v>
      </c>
      <c r="AQ61" s="5"/>
      <c r="AT61" s="5">
        <v>37</v>
      </c>
      <c r="AU61" s="5" t="s">
        <v>119</v>
      </c>
      <c r="AV61" s="5">
        <v>1281</v>
      </c>
      <c r="AW61" s="5">
        <v>130</v>
      </c>
      <c r="AX61" s="5"/>
      <c r="BA61" s="5">
        <v>43</v>
      </c>
      <c r="BB61" s="5" t="s">
        <v>119</v>
      </c>
      <c r="BC61" s="5">
        <v>1281</v>
      </c>
      <c r="BD61" s="5">
        <v>130</v>
      </c>
      <c r="BE61" s="5"/>
      <c r="BH61" s="5">
        <v>48</v>
      </c>
      <c r="BI61" s="5" t="s">
        <v>122</v>
      </c>
      <c r="BJ61" s="5">
        <v>1544</v>
      </c>
      <c r="BK61" s="5">
        <v>1948</v>
      </c>
      <c r="BL61" s="5"/>
      <c r="BO61" s="5">
        <v>0.22</v>
      </c>
      <c r="BP61" s="5"/>
      <c r="BQ61" s="5"/>
      <c r="BR61" s="5"/>
      <c r="BS61" s="5"/>
      <c r="BV61" s="5">
        <v>42</v>
      </c>
      <c r="BW61" s="5" t="s">
        <v>119</v>
      </c>
      <c r="BX61" s="5">
        <v>1678</v>
      </c>
      <c r="BY61" s="5">
        <v>1476</v>
      </c>
      <c r="BZ61" s="5"/>
      <c r="CC61">
        <v>44</v>
      </c>
      <c r="CD61" t="s">
        <v>119</v>
      </c>
      <c r="CE61">
        <v>1335</v>
      </c>
      <c r="CF61">
        <v>95</v>
      </c>
      <c r="CJ61">
        <v>42</v>
      </c>
      <c r="CK61" t="s">
        <v>120</v>
      </c>
      <c r="CL61">
        <v>1744</v>
      </c>
      <c r="CM61">
        <v>2697</v>
      </c>
      <c r="CQ61" s="5">
        <v>42</v>
      </c>
      <c r="CR61" s="5" t="s">
        <v>119</v>
      </c>
      <c r="CS61" s="5">
        <v>1325</v>
      </c>
      <c r="CT61" s="5">
        <v>95</v>
      </c>
      <c r="CU61" s="5"/>
      <c r="CX61">
        <v>36</v>
      </c>
      <c r="CY61" t="s">
        <v>120</v>
      </c>
      <c r="CZ61">
        <v>1802</v>
      </c>
      <c r="DA61">
        <v>208</v>
      </c>
      <c r="DD61">
        <v>30</v>
      </c>
      <c r="DE61" t="s">
        <v>122</v>
      </c>
      <c r="DF61">
        <v>1516</v>
      </c>
      <c r="DG61">
        <v>2882</v>
      </c>
      <c r="DL61">
        <v>37</v>
      </c>
      <c r="DM61" t="s">
        <v>124</v>
      </c>
      <c r="DN61">
        <v>1833</v>
      </c>
      <c r="DO61">
        <v>559</v>
      </c>
      <c r="DS61">
        <v>26</v>
      </c>
      <c r="DT61" t="s">
        <v>119</v>
      </c>
      <c r="DU61">
        <v>1823</v>
      </c>
      <c r="DV61">
        <v>173</v>
      </c>
      <c r="DZ61">
        <v>34</v>
      </c>
      <c r="EA61" t="s">
        <v>118</v>
      </c>
      <c r="EB61">
        <v>1911</v>
      </c>
      <c r="EC61">
        <v>3276</v>
      </c>
    </row>
    <row r="62" spans="2:133" x14ac:dyDescent="0.25">
      <c r="B62" s="5">
        <v>0.22</v>
      </c>
      <c r="C62" s="5"/>
      <c r="D62" s="5"/>
      <c r="E62" s="5"/>
      <c r="F62" s="5"/>
      <c r="H62" s="5">
        <v>39</v>
      </c>
      <c r="I62" s="5" t="s">
        <v>119</v>
      </c>
      <c r="J62" s="5">
        <v>1440</v>
      </c>
      <c r="K62" s="21">
        <v>164</v>
      </c>
      <c r="L62" s="5"/>
      <c r="P62" s="5">
        <v>39</v>
      </c>
      <c r="Q62" s="16" t="s">
        <v>120</v>
      </c>
      <c r="R62" s="11">
        <v>1496</v>
      </c>
      <c r="S62" s="15">
        <v>3044</v>
      </c>
      <c r="T62" s="5"/>
      <c r="X62" s="5">
        <v>39</v>
      </c>
      <c r="Y62" s="16" t="s">
        <v>120</v>
      </c>
      <c r="Z62" s="11">
        <v>1496</v>
      </c>
      <c r="AA62" s="15">
        <v>3044</v>
      </c>
      <c r="AB62" s="5"/>
      <c r="AF62" s="5">
        <v>39</v>
      </c>
      <c r="AG62" s="16" t="s">
        <v>120</v>
      </c>
      <c r="AH62" s="11">
        <v>1485</v>
      </c>
      <c r="AI62" s="15">
        <v>225</v>
      </c>
      <c r="AJ62" s="5"/>
      <c r="AM62" s="5">
        <v>38</v>
      </c>
      <c r="AN62" s="5" t="s">
        <v>119</v>
      </c>
      <c r="AO62" s="5">
        <v>1280</v>
      </c>
      <c r="AP62" s="5">
        <v>130</v>
      </c>
      <c r="AQ62" s="5"/>
      <c r="AT62" s="5">
        <v>38</v>
      </c>
      <c r="AU62" s="5" t="s">
        <v>119</v>
      </c>
      <c r="AV62" s="5">
        <v>1396</v>
      </c>
      <c r="AW62" s="5">
        <v>205</v>
      </c>
      <c r="AX62" s="5"/>
      <c r="BA62" s="5">
        <v>44</v>
      </c>
      <c r="BB62" s="5" t="s">
        <v>119</v>
      </c>
      <c r="BC62" s="5">
        <v>1396</v>
      </c>
      <c r="BD62" s="5">
        <v>205</v>
      </c>
      <c r="BE62" s="5"/>
      <c r="BH62" s="5">
        <v>49</v>
      </c>
      <c r="BI62" s="5" t="s">
        <v>122</v>
      </c>
      <c r="BJ62" s="5">
        <v>1389</v>
      </c>
      <c r="BK62" s="5">
        <v>336</v>
      </c>
      <c r="BL62" s="5"/>
      <c r="BO62" s="5">
        <v>47</v>
      </c>
      <c r="BP62" s="5" t="s">
        <v>119</v>
      </c>
      <c r="BQ62" s="5">
        <v>1512</v>
      </c>
      <c r="BR62" s="5">
        <v>645</v>
      </c>
      <c r="BS62" s="5"/>
      <c r="BV62" s="5">
        <v>43</v>
      </c>
      <c r="BW62" s="5" t="s">
        <v>119</v>
      </c>
      <c r="BX62" s="5">
        <v>1563</v>
      </c>
      <c r="BY62" s="5">
        <v>93</v>
      </c>
      <c r="BZ62" s="5"/>
      <c r="CC62">
        <v>45</v>
      </c>
      <c r="CD62" t="s">
        <v>118</v>
      </c>
      <c r="CE62">
        <v>1739</v>
      </c>
      <c r="CF62">
        <v>2726</v>
      </c>
      <c r="CJ62">
        <v>43</v>
      </c>
      <c r="CK62" t="s">
        <v>124</v>
      </c>
      <c r="CL62">
        <v>1677</v>
      </c>
      <c r="CM62">
        <v>121</v>
      </c>
      <c r="CQ62" s="5">
        <v>43</v>
      </c>
      <c r="CR62" s="5" t="s">
        <v>120</v>
      </c>
      <c r="CS62" s="5">
        <v>1737</v>
      </c>
      <c r="CT62" s="5">
        <v>1431</v>
      </c>
      <c r="CU62" s="5"/>
      <c r="CX62">
        <v>37</v>
      </c>
      <c r="CY62" t="s">
        <v>120</v>
      </c>
      <c r="CZ62">
        <v>1818</v>
      </c>
      <c r="DA62">
        <v>3141</v>
      </c>
      <c r="DD62">
        <v>31</v>
      </c>
      <c r="DE62" t="s">
        <v>122</v>
      </c>
      <c r="DF62">
        <v>1544</v>
      </c>
      <c r="DG62">
        <v>262</v>
      </c>
      <c r="DL62">
        <v>38</v>
      </c>
      <c r="DM62" t="s">
        <v>122</v>
      </c>
      <c r="DN62">
        <v>1516</v>
      </c>
      <c r="DO62">
        <v>1588</v>
      </c>
      <c r="DS62">
        <v>27</v>
      </c>
      <c r="DT62" t="s">
        <v>119</v>
      </c>
      <c r="DU62">
        <v>1885</v>
      </c>
      <c r="DV62">
        <v>1540</v>
      </c>
      <c r="DZ62">
        <v>35</v>
      </c>
      <c r="EA62" t="s">
        <v>118</v>
      </c>
      <c r="EB62">
        <v>1912</v>
      </c>
      <c r="EC62">
        <v>2843</v>
      </c>
    </row>
    <row r="63" spans="2:133" x14ac:dyDescent="0.25">
      <c r="B63" s="5">
        <v>38</v>
      </c>
      <c r="C63" s="5" t="s">
        <v>120</v>
      </c>
      <c r="D63" s="5">
        <v>1348</v>
      </c>
      <c r="E63" s="5">
        <v>3043</v>
      </c>
      <c r="F63" s="5"/>
      <c r="H63" s="5">
        <v>40</v>
      </c>
      <c r="I63" s="5" t="s">
        <v>119</v>
      </c>
      <c r="J63" s="5">
        <v>1396</v>
      </c>
      <c r="K63" s="21">
        <v>205</v>
      </c>
      <c r="L63" s="5"/>
      <c r="P63" s="5">
        <v>40</v>
      </c>
      <c r="Q63" s="16" t="s">
        <v>120</v>
      </c>
      <c r="R63" s="11">
        <v>1485</v>
      </c>
      <c r="S63" s="15">
        <v>3027</v>
      </c>
      <c r="T63" s="5"/>
      <c r="X63" s="5">
        <v>40</v>
      </c>
      <c r="Y63" s="16" t="s">
        <v>120</v>
      </c>
      <c r="Z63" s="11">
        <v>1485</v>
      </c>
      <c r="AA63" s="15">
        <v>2407</v>
      </c>
      <c r="AB63" s="5"/>
      <c r="AF63" s="5">
        <v>40</v>
      </c>
      <c r="AG63" s="16" t="s">
        <v>120</v>
      </c>
      <c r="AH63" s="11">
        <v>1516</v>
      </c>
      <c r="AI63" s="15">
        <v>1335</v>
      </c>
      <c r="AJ63" s="5"/>
      <c r="AM63" s="5">
        <v>39</v>
      </c>
      <c r="AN63" s="5" t="s">
        <v>119</v>
      </c>
      <c r="AO63" s="5">
        <v>1440</v>
      </c>
      <c r="AP63" s="5">
        <v>164</v>
      </c>
      <c r="AQ63" s="5"/>
      <c r="AT63" s="5">
        <v>39</v>
      </c>
      <c r="AU63" s="5" t="s">
        <v>118</v>
      </c>
      <c r="AV63" s="5">
        <v>1547</v>
      </c>
      <c r="AW63" s="5">
        <v>1034</v>
      </c>
      <c r="AX63" s="5"/>
      <c r="BA63" s="5">
        <v>45</v>
      </c>
      <c r="BB63" s="5" t="s">
        <v>118</v>
      </c>
      <c r="BC63" s="5">
        <v>1579</v>
      </c>
      <c r="BD63" s="5">
        <v>150</v>
      </c>
      <c r="BE63" s="5"/>
      <c r="BH63" s="5">
        <v>50</v>
      </c>
      <c r="BI63" s="5" t="s">
        <v>122</v>
      </c>
      <c r="BJ63" s="5">
        <v>1417</v>
      </c>
      <c r="BK63" s="5">
        <v>124</v>
      </c>
      <c r="BL63" s="5"/>
      <c r="BO63" s="5">
        <v>48</v>
      </c>
      <c r="BP63" s="5" t="s">
        <v>119</v>
      </c>
      <c r="BQ63" s="5">
        <v>1335</v>
      </c>
      <c r="BR63" s="5">
        <v>96</v>
      </c>
      <c r="BS63" s="5"/>
      <c r="BV63" s="5">
        <v>44</v>
      </c>
      <c r="BW63" s="5" t="s">
        <v>124</v>
      </c>
      <c r="BX63" s="5">
        <v>1677</v>
      </c>
      <c r="BY63" s="5">
        <v>564</v>
      </c>
      <c r="BZ63" s="5"/>
      <c r="CC63">
        <v>46</v>
      </c>
      <c r="CD63" t="s">
        <v>120</v>
      </c>
      <c r="CE63">
        <v>1737</v>
      </c>
      <c r="CF63">
        <v>2988</v>
      </c>
      <c r="CM63">
        <v>14085</v>
      </c>
      <c r="CQ63" s="5"/>
      <c r="CR63" s="5"/>
      <c r="CS63" s="5"/>
      <c r="CT63" s="5">
        <f>SUM(CT61:CT62)</f>
        <v>1526</v>
      </c>
      <c r="CU63" s="5"/>
      <c r="CX63">
        <v>38</v>
      </c>
      <c r="CY63" t="s">
        <v>253</v>
      </c>
      <c r="CZ63">
        <v>1810</v>
      </c>
      <c r="DA63">
        <v>1283</v>
      </c>
      <c r="DD63">
        <v>32</v>
      </c>
      <c r="DE63" t="s">
        <v>123</v>
      </c>
      <c r="DF63">
        <v>1841</v>
      </c>
      <c r="DG63">
        <v>2634</v>
      </c>
      <c r="DL63">
        <v>39</v>
      </c>
      <c r="DM63" t="s">
        <v>122</v>
      </c>
      <c r="DN63">
        <v>1544</v>
      </c>
      <c r="DO63">
        <v>262</v>
      </c>
      <c r="DS63">
        <v>28</v>
      </c>
      <c r="DT63" t="s">
        <v>119</v>
      </c>
      <c r="DU63">
        <v>1577</v>
      </c>
      <c r="DV63">
        <v>90</v>
      </c>
      <c r="DZ63">
        <v>36</v>
      </c>
      <c r="EA63" t="s">
        <v>119</v>
      </c>
      <c r="EB63">
        <v>1577</v>
      </c>
      <c r="EC63">
        <v>90</v>
      </c>
    </row>
    <row r="64" spans="2:133" x14ac:dyDescent="0.25">
      <c r="B64" s="5"/>
      <c r="C64" s="5"/>
      <c r="D64" s="5"/>
      <c r="E64" s="5"/>
      <c r="F64" s="5"/>
      <c r="H64" s="5"/>
      <c r="I64" s="5"/>
      <c r="J64" s="5"/>
      <c r="K64" s="21"/>
      <c r="L64" s="5"/>
      <c r="P64" s="5"/>
      <c r="Q64" s="16"/>
      <c r="R64" s="11"/>
      <c r="S64" s="15"/>
      <c r="T64" s="5"/>
      <c r="X64" s="5"/>
      <c r="Y64" s="16"/>
      <c r="Z64" s="11"/>
      <c r="AA64" s="15"/>
      <c r="AB64" s="5"/>
      <c r="AF64" s="5"/>
      <c r="AG64" s="16"/>
      <c r="AH64" s="11"/>
      <c r="AI64" s="15"/>
      <c r="AJ64" s="5"/>
      <c r="AM64" s="5"/>
      <c r="AN64" s="5"/>
      <c r="AO64" s="5"/>
      <c r="AP64" s="5"/>
      <c r="AQ64" s="5"/>
      <c r="AT64" s="5"/>
      <c r="AU64" s="5"/>
      <c r="AV64" s="5"/>
      <c r="AW64" s="5"/>
      <c r="AX64" s="5"/>
      <c r="BA64" s="5"/>
      <c r="BB64" s="5"/>
      <c r="BC64" s="5"/>
      <c r="BD64" s="5"/>
      <c r="BE64" s="5"/>
      <c r="BH64" s="5"/>
      <c r="BI64" s="5"/>
      <c r="BJ64" s="5"/>
      <c r="BK64" s="6">
        <f>SUM(BK43:BK63)</f>
        <v>30197</v>
      </c>
      <c r="BL64" s="5"/>
      <c r="BO64" s="5">
        <v>49</v>
      </c>
      <c r="BP64" s="5" t="s">
        <v>119</v>
      </c>
      <c r="BQ64" s="5">
        <v>1513</v>
      </c>
      <c r="BR64" s="5">
        <v>2887</v>
      </c>
      <c r="BS64" s="5"/>
      <c r="BV64" s="5">
        <v>45</v>
      </c>
      <c r="BW64" s="5" t="s">
        <v>124</v>
      </c>
      <c r="BX64" s="5">
        <v>1616</v>
      </c>
      <c r="BY64" s="5">
        <v>632</v>
      </c>
      <c r="BZ64" s="5"/>
      <c r="CF64">
        <v>9689</v>
      </c>
      <c r="CJ64">
        <v>0.18</v>
      </c>
      <c r="CQ64" s="5">
        <v>0.2</v>
      </c>
      <c r="CR64" s="5"/>
      <c r="CS64" s="5"/>
      <c r="CT64" s="5"/>
      <c r="CU64" s="5"/>
      <c r="CX64">
        <v>39</v>
      </c>
      <c r="CY64" t="s">
        <v>122</v>
      </c>
      <c r="CZ64">
        <v>1544</v>
      </c>
      <c r="DA64">
        <v>506</v>
      </c>
      <c r="DD64">
        <v>33</v>
      </c>
      <c r="DE64" t="s">
        <v>124</v>
      </c>
      <c r="DF64">
        <v>1833</v>
      </c>
      <c r="DG64">
        <v>1197</v>
      </c>
      <c r="DL64">
        <v>40</v>
      </c>
      <c r="DM64" t="s">
        <v>120</v>
      </c>
      <c r="DN64">
        <v>1873</v>
      </c>
      <c r="DO64">
        <v>2594</v>
      </c>
      <c r="DS64">
        <v>29</v>
      </c>
      <c r="DT64" t="s">
        <v>119</v>
      </c>
      <c r="DU64">
        <v>1888</v>
      </c>
      <c r="DV64">
        <v>3440</v>
      </c>
      <c r="DZ64">
        <v>37</v>
      </c>
      <c r="EA64" t="s">
        <v>120</v>
      </c>
      <c r="EC64">
        <v>114</v>
      </c>
    </row>
    <row r="65" spans="2:133" x14ac:dyDescent="0.25">
      <c r="B65" s="5"/>
      <c r="C65" s="5"/>
      <c r="D65" s="5"/>
      <c r="E65" s="5"/>
      <c r="F65" s="5"/>
      <c r="H65" s="5"/>
      <c r="I65" s="5"/>
      <c r="J65" s="5"/>
      <c r="K65" s="21"/>
      <c r="L65" s="5"/>
      <c r="P65" s="5"/>
      <c r="Q65" s="16"/>
      <c r="R65" s="11"/>
      <c r="S65" s="15"/>
      <c r="T65" s="5"/>
      <c r="X65" s="5"/>
      <c r="Y65" s="16"/>
      <c r="Z65" s="11"/>
      <c r="AA65" s="15"/>
      <c r="AB65" s="5"/>
      <c r="AF65" s="5"/>
      <c r="AG65" s="16"/>
      <c r="AH65" s="11"/>
      <c r="AI65" s="15"/>
      <c r="AJ65" s="5"/>
      <c r="AM65" s="5"/>
      <c r="AN65" s="5"/>
      <c r="AO65" s="5"/>
      <c r="AP65" s="5"/>
      <c r="AQ65" s="5"/>
      <c r="AT65" s="5"/>
      <c r="AU65" s="5"/>
      <c r="AV65" s="5"/>
      <c r="AW65" s="5"/>
      <c r="AX65" s="5"/>
      <c r="BA65" s="5"/>
      <c r="BB65" s="5"/>
      <c r="BC65" s="5"/>
      <c r="BD65" s="5"/>
      <c r="BE65" s="5"/>
      <c r="BH65" s="5">
        <v>0.22</v>
      </c>
      <c r="BI65" s="5"/>
      <c r="BJ65" s="5"/>
      <c r="BK65" s="5"/>
      <c r="BL65" s="5"/>
      <c r="BO65" s="5">
        <v>50</v>
      </c>
      <c r="BP65" s="5" t="s">
        <v>118</v>
      </c>
      <c r="BQ65" s="5">
        <v>1514</v>
      </c>
      <c r="BR65" s="5">
        <v>724</v>
      </c>
      <c r="BS65" s="5"/>
      <c r="BV65" s="5">
        <v>46</v>
      </c>
      <c r="BW65" s="5" t="s">
        <v>122</v>
      </c>
      <c r="BX65" s="5">
        <v>1600</v>
      </c>
      <c r="BY65" s="5">
        <v>2553</v>
      </c>
      <c r="BZ65" s="5"/>
      <c r="CC65">
        <v>0.2</v>
      </c>
      <c r="CJ65">
        <v>44</v>
      </c>
      <c r="CK65" t="s">
        <v>253</v>
      </c>
      <c r="CL65">
        <v>1753</v>
      </c>
      <c r="CM65">
        <v>2352</v>
      </c>
      <c r="CQ65" s="5">
        <v>44</v>
      </c>
      <c r="CR65" s="5" t="s">
        <v>120</v>
      </c>
      <c r="CS65" s="5">
        <v>1744</v>
      </c>
      <c r="CT65" s="5">
        <v>2265</v>
      </c>
      <c r="CU65" s="5"/>
      <c r="CX65">
        <v>40</v>
      </c>
      <c r="CY65" t="s">
        <v>122</v>
      </c>
      <c r="CZ65">
        <v>1516</v>
      </c>
      <c r="DA65">
        <v>2882</v>
      </c>
      <c r="DD65">
        <v>34</v>
      </c>
      <c r="DE65" t="s">
        <v>118</v>
      </c>
      <c r="DF65">
        <v>1807</v>
      </c>
      <c r="DG65">
        <v>3256</v>
      </c>
      <c r="DL65">
        <v>41</v>
      </c>
      <c r="DM65" t="s">
        <v>120</v>
      </c>
      <c r="DN65">
        <v>1802</v>
      </c>
      <c r="DO65">
        <v>104</v>
      </c>
      <c r="DS65">
        <v>30</v>
      </c>
      <c r="DT65" t="s">
        <v>120</v>
      </c>
      <c r="DU65">
        <v>1873</v>
      </c>
      <c r="DV65">
        <v>2468</v>
      </c>
      <c r="DZ65">
        <v>38</v>
      </c>
      <c r="EA65" t="s">
        <v>123</v>
      </c>
      <c r="EB65">
        <v>1894</v>
      </c>
      <c r="EC65">
        <v>1228</v>
      </c>
    </row>
    <row r="66" spans="2:133" x14ac:dyDescent="0.25">
      <c r="B66" s="5"/>
      <c r="C66" s="5"/>
      <c r="D66" s="5"/>
      <c r="E66" s="5"/>
      <c r="F66" s="5"/>
      <c r="H66" s="5"/>
      <c r="I66" s="5"/>
      <c r="J66" s="5"/>
      <c r="K66" s="21"/>
      <c r="L66" s="5"/>
      <c r="P66" s="5"/>
      <c r="Q66" s="16"/>
      <c r="R66" s="11"/>
      <c r="S66" s="15"/>
      <c r="T66" s="5"/>
      <c r="X66" s="5"/>
      <c r="Y66" s="16"/>
      <c r="Z66" s="11"/>
      <c r="AA66" s="15"/>
      <c r="AB66" s="5"/>
      <c r="AF66" s="5"/>
      <c r="AG66" s="16"/>
      <c r="AH66" s="11"/>
      <c r="AI66" s="15"/>
      <c r="AJ66" s="5"/>
      <c r="AM66" s="5"/>
      <c r="AN66" s="5"/>
      <c r="AO66" s="5"/>
      <c r="AP66" s="5"/>
      <c r="AQ66" s="5"/>
      <c r="AT66" s="5"/>
      <c r="AU66" s="5"/>
      <c r="AV66" s="5"/>
      <c r="AW66" s="5"/>
      <c r="AX66" s="5"/>
      <c r="BA66" s="5"/>
      <c r="BB66" s="5"/>
      <c r="BC66" s="5"/>
      <c r="BD66" s="5"/>
      <c r="BE66" s="5"/>
      <c r="BH66" s="5">
        <v>51</v>
      </c>
      <c r="BI66" s="5" t="s">
        <v>119</v>
      </c>
      <c r="BJ66" s="5">
        <v>1512</v>
      </c>
      <c r="BK66" s="5">
        <v>3016</v>
      </c>
      <c r="BL66" s="5"/>
      <c r="BO66" s="5"/>
      <c r="BP66" s="5"/>
      <c r="BQ66" s="5"/>
      <c r="BR66" s="6">
        <f>SUM(BR62:BR65)</f>
        <v>4352</v>
      </c>
      <c r="BS66" s="5"/>
      <c r="BV66" s="5">
        <v>47</v>
      </c>
      <c r="BW66" s="5" t="s">
        <v>118</v>
      </c>
      <c r="BX66" s="5">
        <v>1664</v>
      </c>
      <c r="BY66" s="5">
        <v>109</v>
      </c>
      <c r="BZ66" s="5"/>
      <c r="CC66">
        <v>47</v>
      </c>
      <c r="CD66" t="s">
        <v>122</v>
      </c>
      <c r="CE66">
        <v>1600</v>
      </c>
      <c r="CF66">
        <v>2377</v>
      </c>
      <c r="CJ66">
        <v>45</v>
      </c>
      <c r="CK66" t="s">
        <v>122</v>
      </c>
      <c r="CL66">
        <v>1731</v>
      </c>
      <c r="CM66">
        <v>741</v>
      </c>
      <c r="CQ66" s="5">
        <v>45</v>
      </c>
      <c r="CR66" s="5" t="s">
        <v>124</v>
      </c>
      <c r="CS66" s="5">
        <v>1769</v>
      </c>
      <c r="CT66" s="5">
        <v>2629</v>
      </c>
      <c r="CU66" s="5"/>
      <c r="DA66">
        <f>SUM(DA48:DA65)</f>
        <v>24986</v>
      </c>
      <c r="DD66">
        <v>35</v>
      </c>
      <c r="DE66" t="s">
        <v>118</v>
      </c>
      <c r="DF66">
        <v>1831</v>
      </c>
      <c r="DG66">
        <v>1010</v>
      </c>
      <c r="DO66">
        <f>SUM(DO52:DO65)</f>
        <v>16191</v>
      </c>
      <c r="DS66">
        <v>31</v>
      </c>
      <c r="DT66" t="s">
        <v>120</v>
      </c>
      <c r="DU66">
        <v>1802</v>
      </c>
      <c r="DV66">
        <v>74</v>
      </c>
      <c r="EC66">
        <v>21800</v>
      </c>
    </row>
    <row r="67" spans="2:133" x14ac:dyDescent="0.25">
      <c r="B67" s="5">
        <v>39</v>
      </c>
      <c r="C67" s="5" t="s">
        <v>120</v>
      </c>
      <c r="D67" s="5">
        <v>1294</v>
      </c>
      <c r="E67" s="5">
        <v>915</v>
      </c>
      <c r="F67" s="5"/>
      <c r="H67" s="5">
        <v>41</v>
      </c>
      <c r="I67" s="5" t="s">
        <v>119</v>
      </c>
      <c r="J67" s="5">
        <v>1281</v>
      </c>
      <c r="K67" s="21">
        <v>130</v>
      </c>
      <c r="L67" s="5"/>
      <c r="P67" s="5">
        <v>41</v>
      </c>
      <c r="Q67" s="16" t="s">
        <v>120</v>
      </c>
      <c r="R67" s="11">
        <v>1516</v>
      </c>
      <c r="S67" s="15">
        <v>3224</v>
      </c>
      <c r="T67" s="5"/>
      <c r="X67" s="5">
        <v>41</v>
      </c>
      <c r="Y67" s="16" t="s">
        <v>120</v>
      </c>
      <c r="Z67" s="11">
        <v>1516</v>
      </c>
      <c r="AA67" s="15">
        <v>3224</v>
      </c>
      <c r="AB67" s="5"/>
      <c r="AF67" s="5">
        <v>41</v>
      </c>
      <c r="AG67" s="16" t="s">
        <v>120</v>
      </c>
      <c r="AH67" s="11">
        <v>1437</v>
      </c>
      <c r="AI67" s="15">
        <v>84</v>
      </c>
      <c r="AJ67" s="5"/>
      <c r="AM67" s="5">
        <v>40</v>
      </c>
      <c r="AN67" s="5" t="s">
        <v>119</v>
      </c>
      <c r="AO67" s="5">
        <v>1427</v>
      </c>
      <c r="AP67" s="5">
        <v>107</v>
      </c>
      <c r="AQ67" s="5"/>
      <c r="AT67" s="5">
        <v>40</v>
      </c>
      <c r="AU67" s="5" t="s">
        <v>118</v>
      </c>
      <c r="AV67" s="5">
        <v>1527</v>
      </c>
      <c r="AW67" s="5">
        <v>116</v>
      </c>
      <c r="AX67" s="5"/>
      <c r="BA67" s="5">
        <v>46</v>
      </c>
      <c r="BB67" s="5" t="s">
        <v>118</v>
      </c>
      <c r="BC67" s="5">
        <v>1581</v>
      </c>
      <c r="BD67" s="5">
        <v>387</v>
      </c>
      <c r="BE67" s="5"/>
      <c r="BH67" s="5">
        <v>52</v>
      </c>
      <c r="BI67" s="5" t="s">
        <v>119</v>
      </c>
      <c r="BJ67" s="5">
        <v>1335</v>
      </c>
      <c r="BK67" s="5">
        <v>96</v>
      </c>
      <c r="BL67" s="5"/>
      <c r="BO67" s="5">
        <v>0.2</v>
      </c>
      <c r="BP67" s="5"/>
      <c r="BQ67" s="5"/>
      <c r="BR67" s="5"/>
      <c r="BS67" s="5"/>
      <c r="BV67" s="5">
        <v>48</v>
      </c>
      <c r="BW67" s="5" t="s">
        <v>118</v>
      </c>
      <c r="BX67" s="5">
        <v>1688</v>
      </c>
      <c r="BY67" s="5">
        <v>3497</v>
      </c>
      <c r="BZ67" s="5"/>
      <c r="CC67">
        <v>48</v>
      </c>
      <c r="CD67" t="s">
        <v>123</v>
      </c>
      <c r="CE67">
        <v>1717</v>
      </c>
      <c r="CF67">
        <v>2886</v>
      </c>
      <c r="CJ67">
        <v>46</v>
      </c>
      <c r="CK67" t="s">
        <v>119</v>
      </c>
      <c r="CL67">
        <v>1741</v>
      </c>
      <c r="CM67">
        <v>3238</v>
      </c>
      <c r="CQ67" s="5">
        <v>46</v>
      </c>
      <c r="CR67" s="5" t="s">
        <v>123</v>
      </c>
      <c r="CS67" s="5">
        <v>1717</v>
      </c>
      <c r="CT67" s="5">
        <v>610</v>
      </c>
      <c r="CU67" s="5"/>
      <c r="DG67">
        <f>SUM(DG55:DG66)</f>
        <v>19844</v>
      </c>
      <c r="DS67">
        <v>32</v>
      </c>
      <c r="DT67" t="s">
        <v>120</v>
      </c>
      <c r="DV67">
        <v>114</v>
      </c>
    </row>
    <row r="68" spans="2:133" x14ac:dyDescent="0.25">
      <c r="B68" s="5"/>
      <c r="C68" s="5"/>
      <c r="D68" s="5"/>
      <c r="E68" s="5"/>
      <c r="F68" s="5"/>
      <c r="H68" s="5"/>
      <c r="I68" s="5"/>
      <c r="J68" s="5"/>
      <c r="K68" s="21"/>
      <c r="L68" s="5"/>
      <c r="P68" s="5"/>
      <c r="Q68" s="16"/>
      <c r="R68" s="11"/>
      <c r="S68" s="15"/>
      <c r="T68" s="5"/>
      <c r="X68" s="5"/>
      <c r="Y68" s="16"/>
      <c r="Z68" s="11"/>
      <c r="AA68" s="15"/>
      <c r="AB68" s="5"/>
      <c r="AF68" s="5"/>
      <c r="AG68" s="16"/>
      <c r="AH68" s="11"/>
      <c r="AI68" s="15"/>
      <c r="AJ68" s="5"/>
      <c r="AM68" s="5"/>
      <c r="AN68" s="5"/>
      <c r="AO68" s="5"/>
      <c r="AP68" s="5"/>
      <c r="AQ68" s="5"/>
      <c r="AT68" s="5"/>
      <c r="AU68" s="5"/>
      <c r="AV68" s="5"/>
      <c r="AW68" s="5"/>
      <c r="AX68" s="5"/>
      <c r="BA68" s="5"/>
      <c r="BB68" s="5"/>
      <c r="BC68" s="5"/>
      <c r="BD68" s="5"/>
      <c r="BE68" s="5"/>
      <c r="BH68" s="5">
        <v>53</v>
      </c>
      <c r="BI68" s="5" t="s">
        <v>118</v>
      </c>
      <c r="BJ68" s="5">
        <v>1514</v>
      </c>
      <c r="BK68" s="5">
        <v>2759</v>
      </c>
      <c r="BL68" s="5"/>
      <c r="BO68" s="5">
        <v>51</v>
      </c>
      <c r="BP68" s="5" t="s">
        <v>119</v>
      </c>
      <c r="BQ68" s="5">
        <v>1563</v>
      </c>
      <c r="BR68" s="5">
        <v>2168</v>
      </c>
      <c r="BS68" s="5"/>
      <c r="BV68" s="5">
        <v>49</v>
      </c>
      <c r="BW68" s="5" t="s">
        <v>118</v>
      </c>
      <c r="BX68" s="5">
        <v>1679</v>
      </c>
      <c r="BY68" s="5">
        <v>324</v>
      </c>
      <c r="BZ68" s="5"/>
      <c r="CC68">
        <v>49</v>
      </c>
      <c r="CD68" t="s">
        <v>118</v>
      </c>
      <c r="CE68">
        <v>1720</v>
      </c>
      <c r="CF68">
        <v>2321</v>
      </c>
      <c r="CJ68">
        <v>47</v>
      </c>
      <c r="CK68" t="s">
        <v>120</v>
      </c>
      <c r="CL68">
        <v>1630</v>
      </c>
      <c r="CM68">
        <v>445</v>
      </c>
      <c r="CQ68" s="5">
        <v>47</v>
      </c>
      <c r="CR68" s="5" t="s">
        <v>253</v>
      </c>
      <c r="CS68" s="5">
        <v>1711</v>
      </c>
      <c r="CT68" s="5">
        <v>75</v>
      </c>
      <c r="CU68" s="5"/>
      <c r="CX68">
        <v>0.22</v>
      </c>
      <c r="DL68">
        <v>0.22</v>
      </c>
      <c r="DS68">
        <v>33</v>
      </c>
      <c r="DT68" t="s">
        <v>118</v>
      </c>
      <c r="DU68">
        <v>1881</v>
      </c>
      <c r="DV68">
        <v>3015</v>
      </c>
      <c r="DZ68">
        <v>0.22</v>
      </c>
    </row>
    <row r="69" spans="2:133" x14ac:dyDescent="0.25">
      <c r="B69" s="5">
        <v>40</v>
      </c>
      <c r="C69" s="5" t="s">
        <v>120</v>
      </c>
      <c r="D69" s="5">
        <v>1379</v>
      </c>
      <c r="E69" s="5">
        <v>583</v>
      </c>
      <c r="F69" s="5"/>
      <c r="H69" s="5">
        <v>42</v>
      </c>
      <c r="I69" s="5" t="s">
        <v>118</v>
      </c>
      <c r="J69" s="5">
        <v>1490</v>
      </c>
      <c r="K69" s="21">
        <v>2268</v>
      </c>
      <c r="L69" s="5"/>
      <c r="P69" s="5">
        <v>42</v>
      </c>
      <c r="Q69" s="16" t="s">
        <v>120</v>
      </c>
      <c r="R69" s="11">
        <v>1437</v>
      </c>
      <c r="S69" s="15">
        <v>188</v>
      </c>
      <c r="T69" s="5"/>
      <c r="X69" s="5">
        <v>42</v>
      </c>
      <c r="Y69" s="16" t="s">
        <v>120</v>
      </c>
      <c r="Z69" s="11">
        <v>1437</v>
      </c>
      <c r="AA69" s="15">
        <v>84</v>
      </c>
      <c r="AB69" s="5"/>
      <c r="AF69" s="5">
        <v>42</v>
      </c>
      <c r="AG69" s="16" t="s">
        <v>122</v>
      </c>
      <c r="AH69" s="11">
        <v>1389</v>
      </c>
      <c r="AI69" s="15">
        <v>489</v>
      </c>
      <c r="AJ69" s="5"/>
      <c r="AM69" s="5">
        <v>41</v>
      </c>
      <c r="AN69" s="5" t="s">
        <v>118</v>
      </c>
      <c r="AO69" s="5">
        <v>1547</v>
      </c>
      <c r="AP69" s="5">
        <v>3260</v>
      </c>
      <c r="AQ69" s="5"/>
      <c r="AT69" s="5">
        <v>41</v>
      </c>
      <c r="AU69" s="5" t="s">
        <v>123</v>
      </c>
      <c r="AV69" s="5">
        <v>1518</v>
      </c>
      <c r="AW69" s="5">
        <v>1411</v>
      </c>
      <c r="AX69" s="5"/>
      <c r="BA69" s="5">
        <v>49</v>
      </c>
      <c r="BB69" s="5" t="s">
        <v>123</v>
      </c>
      <c r="BC69" s="5">
        <v>1585</v>
      </c>
      <c r="BD69" s="5">
        <v>2957</v>
      </c>
      <c r="BE69" s="5"/>
      <c r="BH69" s="5"/>
      <c r="BI69" s="5"/>
      <c r="BJ69" s="5"/>
      <c r="BK69" s="6">
        <f>SUM(BK66:BK68)</f>
        <v>5871</v>
      </c>
      <c r="BL69" s="5"/>
      <c r="BO69" s="5">
        <v>52</v>
      </c>
      <c r="BP69" s="5" t="s">
        <v>119</v>
      </c>
      <c r="BQ69" s="5">
        <v>1593</v>
      </c>
      <c r="BR69" s="5">
        <v>851</v>
      </c>
      <c r="BS69" s="5"/>
      <c r="BV69" s="5">
        <v>50</v>
      </c>
      <c r="BW69" s="5" t="s">
        <v>120</v>
      </c>
      <c r="BX69" s="5">
        <v>1641</v>
      </c>
      <c r="BY69" s="5">
        <v>1685</v>
      </c>
      <c r="BZ69" s="5"/>
      <c r="CC69">
        <v>50</v>
      </c>
      <c r="CD69" t="s">
        <v>118</v>
      </c>
      <c r="CE69">
        <v>1679</v>
      </c>
      <c r="CF69">
        <v>111</v>
      </c>
      <c r="CJ69">
        <v>48</v>
      </c>
      <c r="CK69" t="s">
        <v>118</v>
      </c>
      <c r="CL69">
        <v>1740</v>
      </c>
      <c r="CM69">
        <v>2651</v>
      </c>
      <c r="CQ69" s="5">
        <v>48</v>
      </c>
      <c r="CR69" s="5" t="s">
        <v>124</v>
      </c>
      <c r="CS69" s="5">
        <v>1677</v>
      </c>
      <c r="CT69" s="5">
        <v>121</v>
      </c>
      <c r="CU69" s="5"/>
      <c r="CX69">
        <v>41</v>
      </c>
      <c r="CY69" t="s">
        <v>119</v>
      </c>
      <c r="CZ69">
        <v>1335</v>
      </c>
      <c r="DA69">
        <v>95</v>
      </c>
      <c r="DD69">
        <v>0.22</v>
      </c>
      <c r="DL69">
        <v>42</v>
      </c>
      <c r="DM69" t="s">
        <v>121</v>
      </c>
      <c r="DN69">
        <v>1747</v>
      </c>
      <c r="DO69">
        <v>1614</v>
      </c>
      <c r="DS69">
        <v>36</v>
      </c>
      <c r="DT69" t="s">
        <v>124</v>
      </c>
      <c r="DU69">
        <v>1849</v>
      </c>
      <c r="DV69">
        <v>1211</v>
      </c>
      <c r="DZ69">
        <v>39</v>
      </c>
      <c r="EA69" t="s">
        <v>119</v>
      </c>
      <c r="EB69">
        <v>1335</v>
      </c>
      <c r="EC69">
        <v>95</v>
      </c>
    </row>
    <row r="70" spans="2:133" x14ac:dyDescent="0.25">
      <c r="B70" s="5">
        <v>41</v>
      </c>
      <c r="C70" s="5" t="s">
        <v>121</v>
      </c>
      <c r="D70" s="5">
        <v>1393</v>
      </c>
      <c r="E70" s="5">
        <v>2710</v>
      </c>
      <c r="F70" s="5"/>
      <c r="H70" s="5">
        <v>43</v>
      </c>
      <c r="I70" s="5" t="s">
        <v>118</v>
      </c>
      <c r="J70" s="5">
        <v>1339</v>
      </c>
      <c r="K70" s="21">
        <v>125</v>
      </c>
      <c r="L70" s="5"/>
      <c r="P70" s="5">
        <v>43</v>
      </c>
      <c r="Q70" s="16" t="s">
        <v>207</v>
      </c>
      <c r="R70" s="11">
        <v>1486</v>
      </c>
      <c r="S70" s="15">
        <v>3072</v>
      </c>
      <c r="T70" s="5"/>
      <c r="X70" s="5">
        <v>43</v>
      </c>
      <c r="Y70" s="16" t="s">
        <v>207</v>
      </c>
      <c r="Z70" s="11">
        <v>1486</v>
      </c>
      <c r="AA70" s="15">
        <v>2680</v>
      </c>
      <c r="AB70" s="5"/>
      <c r="AF70" s="5">
        <v>43</v>
      </c>
      <c r="AG70" s="16" t="s">
        <v>122</v>
      </c>
      <c r="AH70" s="11">
        <v>1417</v>
      </c>
      <c r="AI70" s="15">
        <v>143</v>
      </c>
      <c r="AJ70" s="5"/>
      <c r="AM70" s="5">
        <v>42</v>
      </c>
      <c r="AN70" s="5" t="s">
        <v>118</v>
      </c>
      <c r="AO70" s="5">
        <v>1527</v>
      </c>
      <c r="AP70" s="5">
        <v>217</v>
      </c>
      <c r="AQ70" s="5"/>
      <c r="AT70" s="5">
        <v>42</v>
      </c>
      <c r="AU70" s="5" t="s">
        <v>123</v>
      </c>
      <c r="AV70" s="5">
        <v>1460</v>
      </c>
      <c r="AW70" s="5">
        <v>346</v>
      </c>
      <c r="AX70" s="5"/>
      <c r="BA70" s="5">
        <v>50</v>
      </c>
      <c r="BB70" s="5" t="s">
        <v>123</v>
      </c>
      <c r="BC70" s="5">
        <v>1518</v>
      </c>
      <c r="BD70" s="5"/>
      <c r="BE70" s="5"/>
      <c r="BH70" s="5">
        <v>0.2</v>
      </c>
      <c r="BI70" s="5"/>
      <c r="BJ70" s="5"/>
      <c r="BK70" s="5"/>
      <c r="BL70" s="5"/>
      <c r="BO70" s="5">
        <v>53</v>
      </c>
      <c r="BP70" s="5" t="s">
        <v>118</v>
      </c>
      <c r="BQ70" s="5">
        <v>1589</v>
      </c>
      <c r="BR70" s="5">
        <v>297</v>
      </c>
      <c r="BS70" s="5"/>
      <c r="BV70" s="5"/>
      <c r="BW70" s="5"/>
      <c r="BX70" s="5"/>
      <c r="BY70" s="5">
        <f>SUM(BY61:BY69)</f>
        <v>10933</v>
      </c>
      <c r="BZ70" s="5"/>
      <c r="CC70">
        <v>51</v>
      </c>
      <c r="CD70" t="s">
        <v>124</v>
      </c>
      <c r="CE70">
        <v>1677</v>
      </c>
      <c r="CF70">
        <v>394</v>
      </c>
      <c r="CM70">
        <v>9427</v>
      </c>
      <c r="CQ70" s="5">
        <v>49</v>
      </c>
      <c r="CR70" s="5" t="s">
        <v>122</v>
      </c>
      <c r="CS70" s="5">
        <v>1600</v>
      </c>
      <c r="CT70" s="5">
        <v>2178</v>
      </c>
      <c r="CU70" s="5"/>
      <c r="CX70">
        <v>42</v>
      </c>
      <c r="CY70" t="s">
        <v>119</v>
      </c>
      <c r="CZ70">
        <v>1512</v>
      </c>
      <c r="DA70">
        <v>345</v>
      </c>
      <c r="DD70">
        <v>36</v>
      </c>
      <c r="DE70" t="s">
        <v>118</v>
      </c>
      <c r="DF70">
        <v>1806</v>
      </c>
      <c r="DG70">
        <v>159</v>
      </c>
      <c r="DL70">
        <v>43</v>
      </c>
      <c r="DM70" t="s">
        <v>119</v>
      </c>
      <c r="DN70">
        <v>1512</v>
      </c>
      <c r="DO70">
        <v>345</v>
      </c>
      <c r="DS70">
        <v>37</v>
      </c>
      <c r="DT70" t="s">
        <v>253</v>
      </c>
      <c r="DU70">
        <v>1810</v>
      </c>
      <c r="DV70">
        <v>162</v>
      </c>
      <c r="DZ70">
        <v>40</v>
      </c>
      <c r="EA70" t="s">
        <v>118</v>
      </c>
      <c r="EB70">
        <v>1806</v>
      </c>
      <c r="EC70">
        <v>159</v>
      </c>
    </row>
    <row r="71" spans="2:133" x14ac:dyDescent="0.25">
      <c r="B71" s="5"/>
      <c r="C71" s="5"/>
      <c r="D71" s="5"/>
      <c r="E71" s="6">
        <f>SUM(E63:E70)</f>
        <v>7251</v>
      </c>
      <c r="F71" s="5"/>
      <c r="H71" s="5">
        <v>44</v>
      </c>
      <c r="I71" s="5" t="s">
        <v>118</v>
      </c>
      <c r="J71" s="5">
        <v>1366</v>
      </c>
      <c r="K71" s="21">
        <v>94</v>
      </c>
      <c r="L71" s="5"/>
      <c r="P71" s="5">
        <v>44</v>
      </c>
      <c r="Q71" s="16" t="s">
        <v>122</v>
      </c>
      <c r="R71" s="11">
        <v>1489</v>
      </c>
      <c r="S71" s="15">
        <v>2591</v>
      </c>
      <c r="T71" s="5"/>
      <c r="X71" s="5">
        <v>44</v>
      </c>
      <c r="Y71" s="16" t="s">
        <v>122</v>
      </c>
      <c r="Z71" s="11">
        <v>1489</v>
      </c>
      <c r="AA71" s="15">
        <v>2500</v>
      </c>
      <c r="AB71" s="5"/>
      <c r="AF71" s="5">
        <v>44</v>
      </c>
      <c r="AG71" s="16" t="s">
        <v>123</v>
      </c>
      <c r="AH71" s="11">
        <v>1460</v>
      </c>
      <c r="AI71" s="15">
        <v>888</v>
      </c>
      <c r="AJ71" s="5"/>
      <c r="AM71" s="5">
        <v>43</v>
      </c>
      <c r="AN71" s="5" t="s">
        <v>120</v>
      </c>
      <c r="AO71" s="5">
        <v>1485</v>
      </c>
      <c r="AP71" s="5">
        <v>169</v>
      </c>
      <c r="AQ71" s="5"/>
      <c r="AT71" s="5">
        <v>43</v>
      </c>
      <c r="AU71" s="5" t="s">
        <v>124</v>
      </c>
      <c r="AV71" s="5">
        <v>1538</v>
      </c>
      <c r="AW71" s="5">
        <v>523</v>
      </c>
      <c r="AX71" s="5"/>
      <c r="BA71" s="5">
        <v>51</v>
      </c>
      <c r="BB71" s="5" t="s">
        <v>123</v>
      </c>
      <c r="BC71" s="5">
        <v>1460</v>
      </c>
      <c r="BD71" s="5">
        <v>115</v>
      </c>
      <c r="BE71" s="5"/>
      <c r="BH71" s="5">
        <v>54</v>
      </c>
      <c r="BI71" s="5" t="s">
        <v>119</v>
      </c>
      <c r="BJ71" s="5">
        <v>1563</v>
      </c>
      <c r="BK71" s="5">
        <v>2163</v>
      </c>
      <c r="BL71" s="5"/>
      <c r="BO71" s="5">
        <v>54</v>
      </c>
      <c r="BP71" s="5" t="s">
        <v>118</v>
      </c>
      <c r="BQ71" s="5">
        <v>1504</v>
      </c>
      <c r="BR71" s="5">
        <v>85</v>
      </c>
      <c r="BS71" s="5"/>
      <c r="BV71" s="5">
        <v>0.18</v>
      </c>
      <c r="BW71" s="5"/>
      <c r="BX71" s="5"/>
      <c r="BY71" s="5"/>
      <c r="BZ71" s="5"/>
      <c r="CC71">
        <v>52</v>
      </c>
      <c r="CD71" t="s">
        <v>124</v>
      </c>
      <c r="CE71">
        <v>1616</v>
      </c>
      <c r="CF71">
        <v>225</v>
      </c>
      <c r="CQ71" s="5">
        <v>50</v>
      </c>
      <c r="CR71" s="5" t="s">
        <v>119</v>
      </c>
      <c r="CS71" s="5">
        <v>1776</v>
      </c>
      <c r="CT71" s="5">
        <v>437</v>
      </c>
      <c r="CU71" s="5"/>
      <c r="CX71">
        <v>43</v>
      </c>
      <c r="CY71" t="s">
        <v>119</v>
      </c>
      <c r="CZ71">
        <v>1799</v>
      </c>
      <c r="DA71">
        <v>2884</v>
      </c>
      <c r="DD71">
        <v>37</v>
      </c>
      <c r="DE71" t="s">
        <v>118</v>
      </c>
      <c r="DF71">
        <v>1805</v>
      </c>
      <c r="DG71">
        <v>180</v>
      </c>
      <c r="DL71">
        <v>44</v>
      </c>
      <c r="DM71" t="s">
        <v>119</v>
      </c>
      <c r="DN71">
        <v>1855</v>
      </c>
      <c r="DO71">
        <v>2564</v>
      </c>
      <c r="DS71">
        <v>38</v>
      </c>
      <c r="DT71" t="s">
        <v>253</v>
      </c>
      <c r="DU71">
        <v>1890</v>
      </c>
      <c r="DV71">
        <v>3215</v>
      </c>
      <c r="DZ71">
        <v>41</v>
      </c>
      <c r="EA71" t="s">
        <v>118</v>
      </c>
      <c r="EB71">
        <v>1854</v>
      </c>
      <c r="EC71">
        <v>447</v>
      </c>
    </row>
    <row r="72" spans="2:133" x14ac:dyDescent="0.25">
      <c r="B72" s="5">
        <v>0.2</v>
      </c>
      <c r="C72" s="5"/>
      <c r="D72" s="5"/>
      <c r="E72" s="5"/>
      <c r="F72" s="5"/>
      <c r="H72" s="5">
        <v>45</v>
      </c>
      <c r="I72" s="5" t="s">
        <v>120</v>
      </c>
      <c r="J72" s="5">
        <v>1488</v>
      </c>
      <c r="K72" s="21">
        <v>1856</v>
      </c>
      <c r="L72" s="5"/>
      <c r="P72" s="5">
        <v>45</v>
      </c>
      <c r="Q72" s="16" t="s">
        <v>122</v>
      </c>
      <c r="R72" s="11">
        <v>1389</v>
      </c>
      <c r="S72" s="15">
        <v>878</v>
      </c>
      <c r="T72" s="5"/>
      <c r="X72" s="5">
        <v>45</v>
      </c>
      <c r="Y72" s="16" t="s">
        <v>122</v>
      </c>
      <c r="Z72" s="11">
        <v>1389</v>
      </c>
      <c r="AA72" s="15">
        <v>878</v>
      </c>
      <c r="AB72" s="5"/>
      <c r="AF72" s="5">
        <v>45</v>
      </c>
      <c r="AG72" s="16" t="s">
        <v>123</v>
      </c>
      <c r="AH72" s="11">
        <v>1494</v>
      </c>
      <c r="AI72" s="15">
        <v>2989</v>
      </c>
      <c r="AJ72" s="5"/>
      <c r="AM72" s="5">
        <v>44</v>
      </c>
      <c r="AN72" s="5" t="s">
        <v>120</v>
      </c>
      <c r="AO72" s="5">
        <v>1495</v>
      </c>
      <c r="AP72" s="5">
        <v>2704</v>
      </c>
      <c r="AQ72" s="5"/>
      <c r="AT72" s="5">
        <v>44</v>
      </c>
      <c r="AU72" s="5" t="s">
        <v>120</v>
      </c>
      <c r="AV72" s="5">
        <v>1495</v>
      </c>
      <c r="AW72" s="5">
        <v>2290</v>
      </c>
      <c r="AX72" s="5"/>
      <c r="BA72" s="5">
        <v>52</v>
      </c>
      <c r="BB72" s="5" t="s">
        <v>124</v>
      </c>
      <c r="BC72" s="5">
        <v>1538</v>
      </c>
      <c r="BD72" s="5">
        <v>115</v>
      </c>
      <c r="BE72" s="5"/>
      <c r="BH72" s="5">
        <v>55</v>
      </c>
      <c r="BI72" s="5" t="s">
        <v>119</v>
      </c>
      <c r="BJ72" s="5">
        <v>1593</v>
      </c>
      <c r="BK72" s="5">
        <v>2764</v>
      </c>
      <c r="BL72" s="5"/>
      <c r="BO72" s="5">
        <v>55</v>
      </c>
      <c r="BP72" s="5" t="s">
        <v>120</v>
      </c>
      <c r="BQ72" s="5">
        <v>1512</v>
      </c>
      <c r="BR72" s="5">
        <v>202</v>
      </c>
      <c r="BS72" s="5"/>
      <c r="BV72" s="5">
        <v>51</v>
      </c>
      <c r="BW72" s="5" t="s">
        <v>120</v>
      </c>
      <c r="BX72" s="5">
        <v>1630</v>
      </c>
      <c r="BY72" s="5">
        <v>716</v>
      </c>
      <c r="BZ72" s="5"/>
      <c r="CC72">
        <v>53</v>
      </c>
      <c r="CD72" t="s">
        <v>253</v>
      </c>
      <c r="CE72">
        <v>1711</v>
      </c>
      <c r="CF72">
        <v>713</v>
      </c>
      <c r="CJ72" t="s">
        <v>323</v>
      </c>
      <c r="CK72" t="s">
        <v>116</v>
      </c>
      <c r="CL72" t="s">
        <v>211</v>
      </c>
      <c r="CM72" t="s">
        <v>212</v>
      </c>
      <c r="CN72" t="s">
        <v>139</v>
      </c>
      <c r="CO72" t="s">
        <v>213</v>
      </c>
      <c r="CQ72" s="5">
        <v>51</v>
      </c>
      <c r="CR72" s="5" t="s">
        <v>119</v>
      </c>
      <c r="CS72" s="5">
        <v>1563</v>
      </c>
      <c r="CT72" s="5">
        <v>83</v>
      </c>
      <c r="CU72" s="5"/>
      <c r="CX72">
        <v>44</v>
      </c>
      <c r="CY72" t="s">
        <v>118</v>
      </c>
      <c r="CZ72">
        <v>1806</v>
      </c>
      <c r="DA72">
        <v>159</v>
      </c>
      <c r="DD72">
        <v>38</v>
      </c>
      <c r="DE72" t="s">
        <v>119</v>
      </c>
      <c r="DF72">
        <v>1799</v>
      </c>
      <c r="DG72">
        <v>1638</v>
      </c>
      <c r="DL72">
        <v>45</v>
      </c>
      <c r="DM72" t="s">
        <v>119</v>
      </c>
      <c r="DN72">
        <v>1335</v>
      </c>
      <c r="DO72">
        <v>95</v>
      </c>
      <c r="DS72">
        <v>39</v>
      </c>
      <c r="DT72" t="s">
        <v>123</v>
      </c>
      <c r="DU72">
        <v>1814</v>
      </c>
      <c r="DV72">
        <v>745</v>
      </c>
      <c r="DZ72">
        <v>42</v>
      </c>
      <c r="EA72" t="s">
        <v>119</v>
      </c>
      <c r="EB72">
        <v>1855</v>
      </c>
      <c r="EC72">
        <v>1771</v>
      </c>
    </row>
    <row r="73" spans="2:133" x14ac:dyDescent="0.25">
      <c r="B73" s="5"/>
      <c r="C73" s="5"/>
      <c r="D73" s="5"/>
      <c r="E73" s="5"/>
      <c r="F73" s="5"/>
      <c r="H73" s="5"/>
      <c r="I73" s="5"/>
      <c r="J73" s="5"/>
      <c r="K73" s="21"/>
      <c r="L73" s="5"/>
      <c r="P73" s="5"/>
      <c r="Q73" s="16"/>
      <c r="R73" s="11"/>
      <c r="S73" s="15"/>
      <c r="T73" s="5"/>
      <c r="X73" s="5"/>
      <c r="Y73" s="16"/>
      <c r="Z73" s="11"/>
      <c r="AA73" s="15"/>
      <c r="AB73" s="5"/>
      <c r="AF73" s="5"/>
      <c r="AG73" s="16"/>
      <c r="AH73" s="11"/>
      <c r="AI73" s="15"/>
      <c r="AJ73" s="5"/>
      <c r="AM73" s="5"/>
      <c r="AN73" s="5"/>
      <c r="AO73" s="5"/>
      <c r="AP73" s="5"/>
      <c r="AQ73" s="5"/>
      <c r="AT73" s="5"/>
      <c r="AU73" s="5"/>
      <c r="AV73" s="5"/>
      <c r="AW73" s="5"/>
      <c r="AX73" s="5"/>
      <c r="BA73" s="5"/>
      <c r="BB73" s="5"/>
      <c r="BC73" s="5"/>
      <c r="BD73" s="5"/>
      <c r="BE73" s="5"/>
      <c r="BH73" s="5">
        <v>56</v>
      </c>
      <c r="BI73" s="5" t="s">
        <v>118</v>
      </c>
      <c r="BJ73" s="5">
        <v>1589</v>
      </c>
      <c r="BK73" s="5">
        <v>2083</v>
      </c>
      <c r="BL73" s="5"/>
      <c r="BO73" s="5">
        <v>56</v>
      </c>
      <c r="BP73" s="5" t="s">
        <v>123</v>
      </c>
      <c r="BQ73" s="5">
        <v>1588</v>
      </c>
      <c r="BR73" s="5">
        <v>2002</v>
      </c>
      <c r="BS73" s="5"/>
      <c r="BV73" s="5"/>
      <c r="BW73" s="5"/>
      <c r="BX73" s="5"/>
      <c r="BY73" s="5">
        <f>SUM(BY72)</f>
        <v>716</v>
      </c>
      <c r="BZ73" s="5"/>
      <c r="CC73">
        <v>54</v>
      </c>
      <c r="CD73" t="s">
        <v>120</v>
      </c>
      <c r="CE73">
        <v>1614</v>
      </c>
      <c r="CF73">
        <v>1317</v>
      </c>
      <c r="CJ73" t="s">
        <v>324</v>
      </c>
      <c r="CQ73" s="5">
        <v>52</v>
      </c>
      <c r="CR73" s="5" t="s">
        <v>119</v>
      </c>
      <c r="CS73" s="5">
        <v>1777</v>
      </c>
      <c r="CT73" s="5">
        <v>3055</v>
      </c>
      <c r="CU73" s="5"/>
      <c r="CX73">
        <v>45</v>
      </c>
      <c r="CY73" t="s">
        <v>118</v>
      </c>
      <c r="CZ73">
        <v>1805</v>
      </c>
      <c r="DA73">
        <v>1065</v>
      </c>
      <c r="DD73">
        <v>39</v>
      </c>
      <c r="DE73" t="s">
        <v>119</v>
      </c>
      <c r="DF73">
        <v>1335</v>
      </c>
      <c r="DG73">
        <v>95</v>
      </c>
      <c r="DL73">
        <v>46</v>
      </c>
      <c r="DM73" t="s">
        <v>118</v>
      </c>
      <c r="DN73">
        <v>1854</v>
      </c>
      <c r="DO73">
        <v>2127</v>
      </c>
      <c r="DS73">
        <v>40</v>
      </c>
      <c r="DT73" t="s">
        <v>123</v>
      </c>
      <c r="DU73">
        <v>1894</v>
      </c>
      <c r="DV73">
        <v>3037</v>
      </c>
      <c r="DZ73">
        <v>43</v>
      </c>
      <c r="EA73" t="s">
        <v>120</v>
      </c>
      <c r="EB73">
        <v>1877</v>
      </c>
      <c r="EC73">
        <v>2322</v>
      </c>
    </row>
    <row r="74" spans="2:133" x14ac:dyDescent="0.25">
      <c r="B74" s="5"/>
      <c r="C74" s="5"/>
      <c r="D74" s="5"/>
      <c r="E74" s="5"/>
      <c r="F74" s="5"/>
      <c r="H74" s="5"/>
      <c r="I74" s="5"/>
      <c r="J74" s="5"/>
      <c r="K74" s="21"/>
      <c r="L74" s="5"/>
      <c r="P74" s="5"/>
      <c r="Q74" s="16"/>
      <c r="R74" s="11"/>
      <c r="S74" s="15"/>
      <c r="T74" s="5"/>
      <c r="X74" s="5"/>
      <c r="Y74" s="16"/>
      <c r="Z74" s="11"/>
      <c r="AA74" s="15"/>
      <c r="AB74" s="5"/>
      <c r="AF74" s="5"/>
      <c r="AG74" s="16"/>
      <c r="AH74" s="11"/>
      <c r="AI74" s="15"/>
      <c r="AJ74" s="5"/>
      <c r="AM74" s="5"/>
      <c r="AN74" s="5"/>
      <c r="AO74" s="5"/>
      <c r="AP74" s="5"/>
      <c r="AQ74" s="5"/>
      <c r="AT74" s="5"/>
      <c r="AU74" s="5"/>
      <c r="AV74" s="5"/>
      <c r="AW74" s="5"/>
      <c r="AX74" s="5"/>
      <c r="BA74" s="5"/>
      <c r="BB74" s="5"/>
      <c r="BC74" s="5"/>
      <c r="BD74" s="5"/>
      <c r="BE74" s="5"/>
      <c r="BH74" s="5">
        <v>57</v>
      </c>
      <c r="BI74" s="5" t="s">
        <v>118</v>
      </c>
      <c r="BJ74" s="5">
        <v>1504</v>
      </c>
      <c r="BK74" s="5">
        <v>85</v>
      </c>
      <c r="BL74" s="5"/>
      <c r="BO74" s="5">
        <v>57</v>
      </c>
      <c r="BP74" s="5" t="s">
        <v>121</v>
      </c>
      <c r="BQ74" s="5">
        <v>1560</v>
      </c>
      <c r="BR74" s="5">
        <v>577</v>
      </c>
      <c r="BS74" s="5"/>
      <c r="CC74">
        <v>55</v>
      </c>
      <c r="CD74" t="s">
        <v>119</v>
      </c>
      <c r="CE74">
        <v>1714</v>
      </c>
      <c r="CF74">
        <v>2386</v>
      </c>
      <c r="CJ74">
        <v>0.45</v>
      </c>
      <c r="CK74">
        <f>CM7</f>
        <v>1294</v>
      </c>
      <c r="CQ74" s="5">
        <v>53</v>
      </c>
      <c r="CR74" s="5" t="s">
        <v>253</v>
      </c>
      <c r="CS74" s="5">
        <v>1747</v>
      </c>
      <c r="CT74" s="5">
        <v>2483</v>
      </c>
      <c r="CU74" s="5"/>
      <c r="DA74">
        <f>SUM(DA69:DA73)</f>
        <v>4548</v>
      </c>
      <c r="DD74">
        <v>40</v>
      </c>
      <c r="DE74" t="s">
        <v>119</v>
      </c>
      <c r="DF74">
        <v>1512</v>
      </c>
      <c r="DG74">
        <v>345</v>
      </c>
      <c r="DL74">
        <v>47</v>
      </c>
      <c r="DM74" t="s">
        <v>118</v>
      </c>
      <c r="DN74">
        <v>1805</v>
      </c>
      <c r="DO74">
        <v>111</v>
      </c>
      <c r="DS74">
        <v>41</v>
      </c>
      <c r="DT74" t="s">
        <v>122</v>
      </c>
      <c r="DU74">
        <v>1882</v>
      </c>
      <c r="DV74">
        <v>3279</v>
      </c>
      <c r="DZ74">
        <v>44</v>
      </c>
      <c r="EA74" t="s">
        <v>118</v>
      </c>
      <c r="EB74">
        <v>1887</v>
      </c>
      <c r="EC74">
        <v>1034</v>
      </c>
    </row>
    <row r="75" spans="2:133" x14ac:dyDescent="0.25">
      <c r="B75" s="5">
        <v>42</v>
      </c>
      <c r="C75" s="5" t="s">
        <v>119</v>
      </c>
      <c r="D75" s="5">
        <v>1347</v>
      </c>
      <c r="E75" s="5">
        <v>3151</v>
      </c>
      <c r="F75" s="5"/>
      <c r="H75" s="5">
        <v>46</v>
      </c>
      <c r="I75" s="5" t="s">
        <v>120</v>
      </c>
      <c r="J75" s="5">
        <v>1495</v>
      </c>
      <c r="K75" s="21">
        <v>3053</v>
      </c>
      <c r="L75" s="5"/>
      <c r="P75" s="5">
        <v>46</v>
      </c>
      <c r="Q75" s="16" t="s">
        <v>122</v>
      </c>
      <c r="R75" s="11">
        <v>1417</v>
      </c>
      <c r="S75" s="15">
        <v>143</v>
      </c>
      <c r="T75" s="5"/>
      <c r="X75" s="5">
        <v>46</v>
      </c>
      <c r="Y75" s="16" t="s">
        <v>122</v>
      </c>
      <c r="Z75" s="11">
        <v>1417</v>
      </c>
      <c r="AA75" s="15">
        <v>143</v>
      </c>
      <c r="AB75" s="5"/>
      <c r="AF75" s="5">
        <v>46</v>
      </c>
      <c r="AG75" s="16" t="s">
        <v>124</v>
      </c>
      <c r="AH75" s="11">
        <v>1487</v>
      </c>
      <c r="AI75" s="15">
        <v>191</v>
      </c>
      <c r="AJ75" s="5"/>
      <c r="AM75" s="5">
        <v>45</v>
      </c>
      <c r="AN75" s="5" t="s">
        <v>122</v>
      </c>
      <c r="AO75" s="5">
        <v>1544</v>
      </c>
      <c r="AP75" s="5">
        <v>2824</v>
      </c>
      <c r="AQ75" s="5"/>
      <c r="AT75" s="5">
        <v>45</v>
      </c>
      <c r="AU75" s="5" t="s">
        <v>120</v>
      </c>
      <c r="AV75" s="5">
        <v>1485</v>
      </c>
      <c r="AW75" s="5">
        <v>144</v>
      </c>
      <c r="AX75" s="5"/>
      <c r="BA75" s="5">
        <v>53</v>
      </c>
      <c r="BB75" s="5" t="s">
        <v>120</v>
      </c>
      <c r="BC75" s="5">
        <v>1495</v>
      </c>
      <c r="BD75" s="5">
        <v>1489</v>
      </c>
      <c r="BE75" s="5"/>
      <c r="BH75" s="5">
        <v>58</v>
      </c>
      <c r="BI75" s="5" t="s">
        <v>120</v>
      </c>
      <c r="BJ75" s="5">
        <v>1617</v>
      </c>
      <c r="BK75" s="5">
        <v>3206</v>
      </c>
      <c r="BL75" s="5"/>
      <c r="BO75" s="5">
        <v>58</v>
      </c>
      <c r="BP75" s="5" t="s">
        <v>124</v>
      </c>
      <c r="BQ75" s="5">
        <v>1616</v>
      </c>
      <c r="BR75" s="5">
        <v>2056</v>
      </c>
      <c r="BS75" s="5"/>
      <c r="CC75">
        <v>56</v>
      </c>
      <c r="CD75" t="s">
        <v>119</v>
      </c>
      <c r="CE75">
        <v>1563</v>
      </c>
      <c r="CF75">
        <v>83</v>
      </c>
      <c r="CJ75">
        <v>0.55000000000000004</v>
      </c>
      <c r="CK75">
        <f>CM11</f>
        <v>74</v>
      </c>
      <c r="CQ75" s="5"/>
      <c r="CR75" s="5"/>
      <c r="CS75" s="5"/>
      <c r="CT75" s="5">
        <f>SUM(CT65:CT74)</f>
        <v>13936</v>
      </c>
      <c r="CU75" s="5"/>
      <c r="DG75">
        <f>SUM(DG70:DG74)</f>
        <v>2417</v>
      </c>
      <c r="DL75">
        <v>48</v>
      </c>
      <c r="DM75" t="s">
        <v>120</v>
      </c>
      <c r="DN75">
        <v>1877</v>
      </c>
      <c r="DO75">
        <v>2446</v>
      </c>
      <c r="DS75">
        <v>42</v>
      </c>
      <c r="DT75" t="s">
        <v>122</v>
      </c>
      <c r="DU75">
        <v>1516</v>
      </c>
      <c r="DV75">
        <v>1562</v>
      </c>
      <c r="EC75">
        <v>5828</v>
      </c>
    </row>
    <row r="76" spans="2:133" x14ac:dyDescent="0.25">
      <c r="B76" s="5">
        <v>43</v>
      </c>
      <c r="C76" s="5" t="s">
        <v>119</v>
      </c>
      <c r="D76" s="5">
        <v>1345</v>
      </c>
      <c r="E76" s="5">
        <v>3070</v>
      </c>
      <c r="F76" s="5"/>
      <c r="H76" s="5">
        <v>47</v>
      </c>
      <c r="I76" s="5" t="s">
        <v>120</v>
      </c>
      <c r="J76" s="5">
        <v>1496</v>
      </c>
      <c r="K76" s="21">
        <v>3044</v>
      </c>
      <c r="L76" s="5"/>
      <c r="P76" s="5">
        <v>47</v>
      </c>
      <c r="Q76" s="16" t="s">
        <v>123</v>
      </c>
      <c r="R76" s="11">
        <v>1460</v>
      </c>
      <c r="S76" s="15">
        <v>1947</v>
      </c>
      <c r="T76" s="5"/>
      <c r="X76" s="5">
        <v>47</v>
      </c>
      <c r="Y76" s="16" t="s">
        <v>123</v>
      </c>
      <c r="Z76" s="11">
        <v>1460</v>
      </c>
      <c r="AA76" s="15">
        <v>1186</v>
      </c>
      <c r="AB76" s="5"/>
      <c r="AF76" s="5">
        <v>47</v>
      </c>
      <c r="AG76" s="16" t="s">
        <v>124</v>
      </c>
      <c r="AH76" s="11">
        <v>1538</v>
      </c>
      <c r="AI76" s="15">
        <v>1563</v>
      </c>
      <c r="AJ76" s="5"/>
      <c r="AM76" s="5">
        <v>46</v>
      </c>
      <c r="AN76" s="5" t="s">
        <v>123</v>
      </c>
      <c r="AO76" s="5">
        <v>1460</v>
      </c>
      <c r="AP76" s="5">
        <v>406</v>
      </c>
      <c r="AQ76" s="5"/>
      <c r="AT76" s="5">
        <v>46</v>
      </c>
      <c r="AU76" s="5" t="s">
        <v>122</v>
      </c>
      <c r="AV76" s="5">
        <v>1561</v>
      </c>
      <c r="AW76" s="5">
        <v>3402</v>
      </c>
      <c r="AX76" s="5"/>
      <c r="BA76" s="5">
        <v>54</v>
      </c>
      <c r="BB76" s="5" t="s">
        <v>120</v>
      </c>
      <c r="BC76" s="5">
        <v>1485</v>
      </c>
      <c r="BD76" s="5">
        <v>144</v>
      </c>
      <c r="BE76" s="5"/>
      <c r="BH76" s="5">
        <v>59</v>
      </c>
      <c r="BI76" s="5" t="s">
        <v>123</v>
      </c>
      <c r="BJ76" s="5">
        <v>1564</v>
      </c>
      <c r="BK76" s="5">
        <v>2272</v>
      </c>
      <c r="BL76" s="5"/>
      <c r="BO76" s="5">
        <v>59</v>
      </c>
      <c r="BP76" s="5" t="s">
        <v>122</v>
      </c>
      <c r="BQ76" s="5">
        <v>1600</v>
      </c>
      <c r="BR76" s="5">
        <v>2621</v>
      </c>
      <c r="BS76" s="5"/>
      <c r="BV76" s="5" t="s">
        <v>130</v>
      </c>
      <c r="BW76" s="16" t="s">
        <v>116</v>
      </c>
      <c r="BX76" s="11" t="s">
        <v>211</v>
      </c>
      <c r="BY76" s="21" t="s">
        <v>212</v>
      </c>
      <c r="BZ76" s="5" t="s">
        <v>139</v>
      </c>
      <c r="CA76" s="5" t="s">
        <v>213</v>
      </c>
      <c r="CC76">
        <v>57</v>
      </c>
      <c r="CD76" t="s">
        <v>253</v>
      </c>
      <c r="CE76">
        <v>1721</v>
      </c>
      <c r="CF76">
        <v>352</v>
      </c>
      <c r="CJ76" t="s">
        <v>215</v>
      </c>
      <c r="CK76">
        <f>CM16</f>
        <v>65</v>
      </c>
      <c r="CQ76" s="5">
        <v>0.18</v>
      </c>
      <c r="CR76" s="5"/>
      <c r="CS76" s="5"/>
      <c r="CT76" s="5"/>
      <c r="CU76" s="5"/>
      <c r="CX76">
        <v>0.2</v>
      </c>
      <c r="DL76">
        <v>49</v>
      </c>
      <c r="DM76" t="s">
        <v>118</v>
      </c>
      <c r="DN76">
        <v>1806</v>
      </c>
      <c r="DO76">
        <v>159</v>
      </c>
      <c r="DS76">
        <v>43</v>
      </c>
      <c r="DT76" t="s">
        <v>122</v>
      </c>
      <c r="DU76">
        <v>1544</v>
      </c>
      <c r="DV76">
        <v>262</v>
      </c>
    </row>
    <row r="77" spans="2:133" x14ac:dyDescent="0.25">
      <c r="B77" s="5"/>
      <c r="C77" s="5"/>
      <c r="D77" s="5"/>
      <c r="E77" s="5"/>
      <c r="F77" s="5"/>
      <c r="H77" s="5"/>
      <c r="I77" s="5"/>
      <c r="J77" s="5"/>
      <c r="K77" s="21"/>
      <c r="L77" s="5"/>
      <c r="P77" s="5"/>
      <c r="Q77" s="16"/>
      <c r="R77" s="11"/>
      <c r="S77" s="15"/>
      <c r="T77" s="5"/>
      <c r="X77" s="5"/>
      <c r="Y77" s="16"/>
      <c r="Z77" s="11"/>
      <c r="AA77" s="15"/>
      <c r="AB77" s="5"/>
      <c r="AF77" s="5"/>
      <c r="AG77" s="16"/>
      <c r="AH77" s="11"/>
      <c r="AI77" s="15"/>
      <c r="AJ77" s="5"/>
      <c r="AM77" s="5"/>
      <c r="AN77" s="5"/>
      <c r="AO77" s="5"/>
      <c r="AP77" s="5"/>
      <c r="AQ77" s="5"/>
      <c r="AT77" s="5"/>
      <c r="AU77" s="5"/>
      <c r="AV77" s="5"/>
      <c r="AW77" s="5"/>
      <c r="AX77" s="5"/>
      <c r="BA77" s="5"/>
      <c r="BB77" s="5"/>
      <c r="BC77" s="5"/>
      <c r="BD77" s="5"/>
      <c r="BE77" s="5"/>
      <c r="BH77" s="5">
        <v>60</v>
      </c>
      <c r="BI77" s="5" t="s">
        <v>121</v>
      </c>
      <c r="BJ77" s="5">
        <v>1560</v>
      </c>
      <c r="BK77" s="5">
        <v>1492</v>
      </c>
      <c r="BL77" s="5"/>
      <c r="BO77" s="5">
        <v>60</v>
      </c>
      <c r="BP77" s="5" t="s">
        <v>122</v>
      </c>
      <c r="BQ77" s="5">
        <v>1349</v>
      </c>
      <c r="BR77" s="5">
        <v>82</v>
      </c>
      <c r="BS77" s="5"/>
      <c r="BV77" s="5" t="s">
        <v>214</v>
      </c>
      <c r="BW77" s="16"/>
      <c r="BX77" s="11"/>
      <c r="BY77" s="21"/>
      <c r="BZ77" s="5"/>
      <c r="CA77" s="5"/>
      <c r="CF77">
        <v>13165</v>
      </c>
      <c r="CJ77">
        <v>0.7</v>
      </c>
      <c r="CK77">
        <f>CM19+CM25</f>
        <v>1344</v>
      </c>
      <c r="CN77" s="10"/>
      <c r="CO77" s="10"/>
      <c r="CP77" s="10"/>
      <c r="CQ77" s="5">
        <v>54</v>
      </c>
      <c r="CR77" s="5" t="s">
        <v>253</v>
      </c>
      <c r="CS77" s="5">
        <v>1755</v>
      </c>
      <c r="CT77" s="5">
        <v>2141</v>
      </c>
      <c r="CU77" s="5"/>
      <c r="CX77">
        <v>46</v>
      </c>
      <c r="CY77" t="s">
        <v>118</v>
      </c>
      <c r="CZ77">
        <v>1800</v>
      </c>
      <c r="DA77">
        <v>1325</v>
      </c>
      <c r="DD77">
        <v>0.2</v>
      </c>
      <c r="DO77">
        <f>SUM(DO69:DO76)</f>
        <v>9461</v>
      </c>
      <c r="DV77">
        <f>SUM(DV61:DV76)</f>
        <v>24387</v>
      </c>
      <c r="DZ77">
        <v>0.2</v>
      </c>
    </row>
    <row r="78" spans="2:133" x14ac:dyDescent="0.25">
      <c r="B78" s="5">
        <v>44</v>
      </c>
      <c r="C78" s="5" t="s">
        <v>118</v>
      </c>
      <c r="D78" s="5">
        <v>1359</v>
      </c>
      <c r="E78" s="5">
        <v>787</v>
      </c>
      <c r="F78" s="5"/>
      <c r="H78" s="5">
        <v>48</v>
      </c>
      <c r="I78" s="5" t="s">
        <v>120</v>
      </c>
      <c r="J78" s="5">
        <v>1485</v>
      </c>
      <c r="K78" s="21">
        <v>3027</v>
      </c>
      <c r="L78" s="5"/>
      <c r="P78" s="5">
        <v>48</v>
      </c>
      <c r="Q78" s="16" t="s">
        <v>123</v>
      </c>
      <c r="R78" s="11">
        <v>1494</v>
      </c>
      <c r="S78" s="15">
        <v>2993</v>
      </c>
      <c r="T78" s="5"/>
      <c r="X78" s="5">
        <v>48</v>
      </c>
      <c r="Y78" s="16" t="s">
        <v>123</v>
      </c>
      <c r="Z78" s="11">
        <v>1494</v>
      </c>
      <c r="AA78" s="15">
        <v>2989</v>
      </c>
      <c r="AB78" s="5"/>
      <c r="AF78" s="5">
        <v>48</v>
      </c>
      <c r="AG78" s="16" t="s">
        <v>119</v>
      </c>
      <c r="AH78" s="11">
        <v>1427</v>
      </c>
      <c r="AI78" s="15">
        <v>107</v>
      </c>
      <c r="AJ78" s="5"/>
      <c r="AM78" s="5">
        <v>47</v>
      </c>
      <c r="AN78" s="5" t="s">
        <v>122</v>
      </c>
      <c r="AO78" s="5">
        <v>1389</v>
      </c>
      <c r="AP78" s="5">
        <v>411</v>
      </c>
      <c r="AQ78" s="5"/>
      <c r="AT78" s="5">
        <v>47</v>
      </c>
      <c r="AU78" s="5" t="s">
        <v>122</v>
      </c>
      <c r="AV78" s="5">
        <v>1544</v>
      </c>
      <c r="AW78" s="5">
        <v>2824</v>
      </c>
      <c r="AX78" s="5"/>
      <c r="BA78" s="5">
        <v>56</v>
      </c>
      <c r="BB78" s="5" t="s">
        <v>122</v>
      </c>
      <c r="BC78" s="5">
        <v>1544</v>
      </c>
      <c r="BD78" s="5">
        <v>2824</v>
      </c>
      <c r="BE78" s="5"/>
      <c r="BH78" s="5">
        <v>61</v>
      </c>
      <c r="BI78" s="5" t="s">
        <v>124</v>
      </c>
      <c r="BJ78" s="5">
        <v>1616</v>
      </c>
      <c r="BK78" s="5">
        <v>3202</v>
      </c>
      <c r="BL78" s="5"/>
      <c r="BO78" s="5"/>
      <c r="BP78" s="5"/>
      <c r="BQ78" s="5"/>
      <c r="BR78" s="6">
        <f>SUM(BR68:BR77)</f>
        <v>10941</v>
      </c>
      <c r="BS78" s="5"/>
      <c r="BV78" s="5">
        <v>0.45</v>
      </c>
      <c r="BW78" s="22">
        <f>BY7</f>
        <v>1622</v>
      </c>
      <c r="BX78" s="16"/>
      <c r="BY78" s="15"/>
      <c r="BZ78" s="5"/>
      <c r="CA78" s="5"/>
      <c r="CC78">
        <v>0.18</v>
      </c>
      <c r="CK78">
        <f>SUM(CK74:CK77)</f>
        <v>2777</v>
      </c>
      <c r="CL78">
        <v>8</v>
      </c>
      <c r="CM78">
        <f>CK78-(CL78*35)</f>
        <v>2497</v>
      </c>
      <c r="CN78" s="10">
        <v>6450</v>
      </c>
      <c r="CO78" s="10">
        <f>CM78*CN78</f>
        <v>16105650</v>
      </c>
      <c r="CP78" s="10"/>
      <c r="CQ78" s="5">
        <v>55</v>
      </c>
      <c r="CR78" s="5" t="s">
        <v>120</v>
      </c>
      <c r="CS78" s="5">
        <v>1630</v>
      </c>
      <c r="CT78" s="5">
        <v>70</v>
      </c>
      <c r="CU78" s="5"/>
      <c r="CX78">
        <v>47</v>
      </c>
      <c r="CY78" t="s">
        <v>253</v>
      </c>
      <c r="CZ78">
        <v>1712</v>
      </c>
      <c r="DA78">
        <v>75</v>
      </c>
      <c r="DD78">
        <v>40</v>
      </c>
      <c r="DE78" t="s">
        <v>119</v>
      </c>
      <c r="DF78">
        <v>1777</v>
      </c>
      <c r="DG78">
        <v>2271</v>
      </c>
      <c r="DZ78">
        <v>45</v>
      </c>
      <c r="EA78" t="s">
        <v>253</v>
      </c>
      <c r="EB78">
        <v>1747</v>
      </c>
      <c r="EC78">
        <v>197</v>
      </c>
    </row>
    <row r="79" spans="2:133" x14ac:dyDescent="0.25">
      <c r="B79" s="5">
        <v>45</v>
      </c>
      <c r="C79" s="5" t="s">
        <v>123</v>
      </c>
      <c r="D79" s="5">
        <v>1369</v>
      </c>
      <c r="E79" s="5">
        <v>828</v>
      </c>
      <c r="F79" s="5"/>
      <c r="H79" s="5">
        <v>49</v>
      </c>
      <c r="I79" s="5" t="s">
        <v>120</v>
      </c>
      <c r="J79" s="5">
        <v>1437</v>
      </c>
      <c r="K79" s="21">
        <v>403</v>
      </c>
      <c r="L79" s="5"/>
      <c r="P79" s="5">
        <v>49</v>
      </c>
      <c r="Q79" s="16" t="s">
        <v>124</v>
      </c>
      <c r="R79" s="11">
        <v>1487</v>
      </c>
      <c r="S79" s="15">
        <v>790</v>
      </c>
      <c r="T79" s="5"/>
      <c r="X79" s="5">
        <v>49</v>
      </c>
      <c r="Y79" s="16" t="s">
        <v>124</v>
      </c>
      <c r="Z79" s="11">
        <v>1487</v>
      </c>
      <c r="AA79" s="15">
        <v>619</v>
      </c>
      <c r="AB79" s="5"/>
      <c r="AF79" s="5"/>
      <c r="AG79" s="16"/>
      <c r="AH79" s="11"/>
      <c r="AI79" s="14">
        <f>SUM(AI52:AI78)</f>
        <v>18806</v>
      </c>
      <c r="AJ79" s="5"/>
      <c r="AM79" s="5">
        <v>48</v>
      </c>
      <c r="AN79" s="5" t="s">
        <v>122</v>
      </c>
      <c r="AO79" s="5">
        <v>1417</v>
      </c>
      <c r="AP79" s="5">
        <v>124</v>
      </c>
      <c r="AQ79" s="5"/>
      <c r="AT79" s="5">
        <v>48</v>
      </c>
      <c r="AU79" s="5" t="s">
        <v>122</v>
      </c>
      <c r="AV79" s="5">
        <v>1389</v>
      </c>
      <c r="AW79" s="5">
        <v>411</v>
      </c>
      <c r="AX79" s="5"/>
      <c r="BA79" s="5">
        <v>57</v>
      </c>
      <c r="BB79" s="5" t="s">
        <v>122</v>
      </c>
      <c r="BC79" s="5">
        <v>1389</v>
      </c>
      <c r="BD79" s="5">
        <v>411</v>
      </c>
      <c r="BE79" s="5"/>
      <c r="BH79" s="5">
        <v>62</v>
      </c>
      <c r="BI79" s="5" t="s">
        <v>122</v>
      </c>
      <c r="BJ79" s="5">
        <v>1600</v>
      </c>
      <c r="BK79" s="5">
        <v>2548</v>
      </c>
      <c r="BL79" s="5"/>
      <c r="BO79" s="5">
        <v>0.18</v>
      </c>
      <c r="BP79" s="5"/>
      <c r="BQ79" s="5"/>
      <c r="BR79" s="5"/>
      <c r="BS79" s="5"/>
      <c r="BV79" s="5">
        <v>0.55000000000000004</v>
      </c>
      <c r="BW79" s="22">
        <f>BY13</f>
        <v>501</v>
      </c>
      <c r="BX79" s="16"/>
      <c r="BY79" s="15"/>
      <c r="BZ79" s="5"/>
      <c r="CA79" s="5"/>
      <c r="CC79">
        <v>58</v>
      </c>
      <c r="CD79" t="s">
        <v>120</v>
      </c>
      <c r="CE79">
        <v>1630</v>
      </c>
      <c r="CF79">
        <v>667</v>
      </c>
      <c r="CN79" s="10"/>
      <c r="CO79" s="10"/>
      <c r="CP79" s="10"/>
      <c r="CQ79" s="5">
        <v>56</v>
      </c>
      <c r="CR79" s="5" t="s">
        <v>118</v>
      </c>
      <c r="CS79" s="5">
        <v>1740</v>
      </c>
      <c r="CT79" s="5">
        <v>1995</v>
      </c>
      <c r="CU79" s="5"/>
      <c r="CX79">
        <v>48</v>
      </c>
      <c r="CY79" t="s">
        <v>124</v>
      </c>
      <c r="CZ79">
        <v>1769</v>
      </c>
      <c r="DA79">
        <v>1175</v>
      </c>
      <c r="DD79">
        <v>41</v>
      </c>
      <c r="DE79" t="s">
        <v>119</v>
      </c>
      <c r="DF79">
        <v>1563</v>
      </c>
      <c r="DG79">
        <v>83</v>
      </c>
      <c r="DL79">
        <v>0.2</v>
      </c>
      <c r="DS79">
        <v>0.22</v>
      </c>
      <c r="DZ79">
        <v>46</v>
      </c>
      <c r="EA79" t="s">
        <v>123</v>
      </c>
      <c r="EB79">
        <v>1816</v>
      </c>
      <c r="EC79">
        <v>1194</v>
      </c>
    </row>
    <row r="80" spans="2:133" x14ac:dyDescent="0.25">
      <c r="B80" s="5">
        <v>46</v>
      </c>
      <c r="C80" s="5" t="s">
        <v>120</v>
      </c>
      <c r="D80" s="5">
        <v>1293</v>
      </c>
      <c r="E80" s="5">
        <v>801</v>
      </c>
      <c r="F80" s="5"/>
      <c r="H80" s="5">
        <v>50</v>
      </c>
      <c r="I80" s="5" t="s">
        <v>122</v>
      </c>
      <c r="J80" s="5">
        <v>1486</v>
      </c>
      <c r="K80" s="21">
        <v>3072</v>
      </c>
      <c r="L80" s="5"/>
      <c r="P80" s="5">
        <v>50</v>
      </c>
      <c r="Q80" s="16" t="s">
        <v>129</v>
      </c>
      <c r="R80" s="11">
        <v>1285</v>
      </c>
      <c r="S80" s="15">
        <v>100</v>
      </c>
      <c r="T80" s="5"/>
      <c r="X80" s="5">
        <v>50</v>
      </c>
      <c r="Y80" s="16" t="s">
        <v>129</v>
      </c>
      <c r="Z80" s="11">
        <v>1285</v>
      </c>
      <c r="AA80" s="15">
        <v>100</v>
      </c>
      <c r="AB80" s="5"/>
      <c r="AF80" s="5"/>
      <c r="AG80" s="13">
        <v>0.22</v>
      </c>
      <c r="AH80" s="11"/>
      <c r="AI80" s="15"/>
      <c r="AJ80" s="5"/>
      <c r="AM80" s="5">
        <v>49</v>
      </c>
      <c r="AN80" s="5" t="s">
        <v>123</v>
      </c>
      <c r="AO80" s="5">
        <v>1518</v>
      </c>
      <c r="AP80" s="5">
        <v>1411</v>
      </c>
      <c r="AQ80" s="5"/>
      <c r="AT80" s="5">
        <v>49</v>
      </c>
      <c r="AU80" s="5" t="s">
        <v>122</v>
      </c>
      <c r="AV80" s="5">
        <v>1417</v>
      </c>
      <c r="AW80" s="5">
        <v>124</v>
      </c>
      <c r="AX80" s="5"/>
      <c r="BA80" s="5">
        <v>58</v>
      </c>
      <c r="BB80" s="5" t="s">
        <v>122</v>
      </c>
      <c r="BC80" s="5">
        <v>1417</v>
      </c>
      <c r="BD80" s="5">
        <v>124</v>
      </c>
      <c r="BE80" s="5"/>
      <c r="BH80" s="5">
        <v>63</v>
      </c>
      <c r="BI80" s="5" t="s">
        <v>122</v>
      </c>
      <c r="BJ80" s="5">
        <v>1349</v>
      </c>
      <c r="BK80" s="5">
        <v>81</v>
      </c>
      <c r="BL80" s="5"/>
      <c r="BO80" s="5">
        <v>61</v>
      </c>
      <c r="BP80" s="5" t="s">
        <v>120</v>
      </c>
      <c r="BQ80" s="5">
        <v>1630</v>
      </c>
      <c r="BR80" s="5">
        <v>3437</v>
      </c>
      <c r="BS80" s="5"/>
      <c r="BV80" s="23" t="s">
        <v>215</v>
      </c>
      <c r="BW80" s="22">
        <f>BY20</f>
        <v>311</v>
      </c>
      <c r="BX80" s="16"/>
      <c r="BY80" s="15"/>
      <c r="BZ80" s="5"/>
      <c r="CA80" s="5"/>
      <c r="CC80">
        <v>59</v>
      </c>
      <c r="CD80" t="s">
        <v>122</v>
      </c>
      <c r="CE80">
        <v>1731</v>
      </c>
      <c r="CF80">
        <v>920</v>
      </c>
      <c r="CJ80" t="s">
        <v>325</v>
      </c>
      <c r="CN80" s="10"/>
      <c r="CO80" s="10"/>
      <c r="CP80" s="10"/>
      <c r="CQ80" s="5">
        <v>57</v>
      </c>
      <c r="CR80" s="5" t="s">
        <v>119</v>
      </c>
      <c r="CS80" s="5">
        <v>1741</v>
      </c>
      <c r="CT80" s="5">
        <v>3102</v>
      </c>
      <c r="CU80" s="5"/>
      <c r="CX80">
        <v>49</v>
      </c>
      <c r="CY80" t="s">
        <v>120</v>
      </c>
      <c r="CZ80">
        <v>1817</v>
      </c>
      <c r="DA80">
        <v>3031</v>
      </c>
      <c r="DD80">
        <v>42</v>
      </c>
      <c r="DE80" t="s">
        <v>118</v>
      </c>
      <c r="DF80">
        <v>1832</v>
      </c>
      <c r="DG80">
        <v>1635</v>
      </c>
      <c r="DL80">
        <v>50</v>
      </c>
      <c r="DM80" t="s">
        <v>118</v>
      </c>
      <c r="DN80">
        <v>1875</v>
      </c>
      <c r="DO80">
        <v>3135</v>
      </c>
      <c r="DS80">
        <v>44</v>
      </c>
      <c r="DT80" t="s">
        <v>119</v>
      </c>
      <c r="DU80">
        <v>1335</v>
      </c>
      <c r="DV80">
        <v>95</v>
      </c>
      <c r="DZ80">
        <v>47</v>
      </c>
      <c r="EA80" t="s">
        <v>124</v>
      </c>
      <c r="EB80">
        <v>1834</v>
      </c>
      <c r="EC80">
        <v>564</v>
      </c>
    </row>
    <row r="81" spans="2:133" x14ac:dyDescent="0.25">
      <c r="B81" s="5">
        <v>47</v>
      </c>
      <c r="C81" s="5" t="s">
        <v>122</v>
      </c>
      <c r="D81" s="5">
        <v>1349</v>
      </c>
      <c r="E81" s="5">
        <v>3268</v>
      </c>
      <c r="F81" s="5"/>
      <c r="H81" s="5">
        <v>51</v>
      </c>
      <c r="I81" s="5" t="s">
        <v>122</v>
      </c>
      <c r="J81" s="5">
        <v>1489</v>
      </c>
      <c r="K81" s="21">
        <v>2591</v>
      </c>
      <c r="L81" s="5"/>
      <c r="P81" s="5">
        <v>51</v>
      </c>
      <c r="Q81" s="16" t="s">
        <v>119</v>
      </c>
      <c r="R81" s="11">
        <v>1427</v>
      </c>
      <c r="S81" s="15">
        <v>227</v>
      </c>
      <c r="T81" s="5"/>
      <c r="X81" s="5"/>
      <c r="Y81" s="16" t="s">
        <v>208</v>
      </c>
      <c r="Z81" s="11">
        <v>1507</v>
      </c>
      <c r="AA81" s="15">
        <v>977</v>
      </c>
      <c r="AB81" s="5"/>
      <c r="AF81" s="5">
        <v>49</v>
      </c>
      <c r="AG81" s="16" t="s">
        <v>119</v>
      </c>
      <c r="AH81" s="11">
        <v>1335</v>
      </c>
      <c r="AI81" s="15">
        <v>96</v>
      </c>
      <c r="AJ81" s="5"/>
      <c r="AM81" s="5">
        <v>50</v>
      </c>
      <c r="AN81" s="5" t="s">
        <v>124</v>
      </c>
      <c r="AO81" s="5">
        <v>1538</v>
      </c>
      <c r="AP81" s="5">
        <v>1427</v>
      </c>
      <c r="AQ81" s="5"/>
      <c r="AT81" s="5"/>
      <c r="AU81" s="5"/>
      <c r="AV81" s="5"/>
      <c r="AW81" s="6">
        <f>SUM(AW60:AW80)</f>
        <v>15213</v>
      </c>
      <c r="AX81" s="5"/>
      <c r="BA81" s="5"/>
      <c r="BB81" s="5"/>
      <c r="BC81" s="5"/>
      <c r="BD81" s="6">
        <f>SUM(BD53:BD80)</f>
        <v>24947</v>
      </c>
      <c r="BE81" s="5"/>
      <c r="BH81" s="5"/>
      <c r="BI81" s="5"/>
      <c r="BJ81" s="5"/>
      <c r="BK81" s="6">
        <f>SUM(BK71:BK80)</f>
        <v>19896</v>
      </c>
      <c r="BL81" s="5"/>
      <c r="BO81" s="5">
        <v>62</v>
      </c>
      <c r="BP81" s="5" t="s">
        <v>120</v>
      </c>
      <c r="BQ81" s="5">
        <v>1548</v>
      </c>
      <c r="BR81" s="5">
        <v>167</v>
      </c>
      <c r="BS81" s="5"/>
      <c r="BV81" s="5">
        <v>0.7</v>
      </c>
      <c r="BW81" s="22">
        <f>BY29+BY23</f>
        <v>1503</v>
      </c>
      <c r="BX81" s="16"/>
      <c r="BY81" s="15"/>
      <c r="BZ81" s="5"/>
      <c r="CA81" s="5"/>
      <c r="CF81">
        <v>1587</v>
      </c>
      <c r="CJ81">
        <v>0.28000000000000003</v>
      </c>
      <c r="CK81">
        <f>CM33</f>
        <v>1784</v>
      </c>
      <c r="CN81" s="10"/>
      <c r="CO81" s="10"/>
      <c r="CP81" s="10"/>
      <c r="CQ81" s="5">
        <v>58</v>
      </c>
      <c r="CR81" s="5" t="s">
        <v>122</v>
      </c>
      <c r="CS81" s="5">
        <v>1777</v>
      </c>
      <c r="CT81" s="5">
        <v>3055</v>
      </c>
      <c r="CU81" s="5"/>
      <c r="CX81">
        <v>50</v>
      </c>
      <c r="CY81" t="s">
        <v>119</v>
      </c>
      <c r="CZ81">
        <v>1563</v>
      </c>
      <c r="DA81">
        <v>83</v>
      </c>
      <c r="DD81">
        <v>43</v>
      </c>
      <c r="DE81" t="s">
        <v>118</v>
      </c>
      <c r="DF81">
        <v>1800</v>
      </c>
      <c r="DG81">
        <v>135</v>
      </c>
      <c r="DL81">
        <v>51</v>
      </c>
      <c r="DM81" t="s">
        <v>120</v>
      </c>
      <c r="DN81">
        <v>1817</v>
      </c>
      <c r="DO81">
        <v>2555</v>
      </c>
      <c r="DS81">
        <v>45</v>
      </c>
      <c r="DT81" t="s">
        <v>119</v>
      </c>
      <c r="DU81">
        <v>1855</v>
      </c>
      <c r="DV81">
        <v>2182</v>
      </c>
      <c r="DZ81">
        <v>48</v>
      </c>
      <c r="EA81" t="s">
        <v>119</v>
      </c>
      <c r="EB81">
        <v>1843</v>
      </c>
      <c r="EC81">
        <v>3181</v>
      </c>
    </row>
    <row r="82" spans="2:133" x14ac:dyDescent="0.25">
      <c r="B82" s="5"/>
      <c r="C82" s="5"/>
      <c r="D82" s="5"/>
      <c r="E82" s="6">
        <f>SUM(E75:E81)</f>
        <v>11905</v>
      </c>
      <c r="F82" s="5"/>
      <c r="H82" s="5">
        <v>52</v>
      </c>
      <c r="I82" s="5" t="s">
        <v>122</v>
      </c>
      <c r="J82" s="5">
        <v>1389</v>
      </c>
      <c r="K82" s="21">
        <v>878</v>
      </c>
      <c r="L82" s="5"/>
      <c r="P82" s="5"/>
      <c r="Q82" s="16"/>
      <c r="R82" s="11"/>
      <c r="S82" s="14">
        <f>SUM(S48:S81)</f>
        <v>40580</v>
      </c>
      <c r="T82" s="5"/>
      <c r="X82" s="5">
        <v>51</v>
      </c>
      <c r="Y82" s="16" t="s">
        <v>119</v>
      </c>
      <c r="Z82" s="11">
        <v>1427</v>
      </c>
      <c r="AA82" s="15">
        <v>227</v>
      </c>
      <c r="AB82" s="5"/>
      <c r="AF82" s="5">
        <v>50</v>
      </c>
      <c r="AG82" s="16" t="s">
        <v>119</v>
      </c>
      <c r="AH82" s="11">
        <v>1512</v>
      </c>
      <c r="AI82" s="15">
        <v>3303</v>
      </c>
      <c r="AJ82" s="5"/>
      <c r="AM82" s="5"/>
      <c r="AN82" s="5"/>
      <c r="AO82" s="5"/>
      <c r="AP82" s="6">
        <f>SUM(AP55:AP81)</f>
        <v>21242</v>
      </c>
      <c r="AQ82" s="5"/>
      <c r="AT82" s="5">
        <v>0.22</v>
      </c>
      <c r="AU82" s="5"/>
      <c r="AV82" s="5"/>
      <c r="AW82" s="5"/>
      <c r="AX82" s="5"/>
      <c r="BA82" s="5">
        <v>0.22</v>
      </c>
      <c r="BB82" s="5"/>
      <c r="BC82" s="5"/>
      <c r="BD82" s="5"/>
      <c r="BE82" s="5"/>
      <c r="BH82" s="5">
        <v>0.18</v>
      </c>
      <c r="BI82" s="5"/>
      <c r="BJ82" s="5"/>
      <c r="BK82" s="5"/>
      <c r="BL82" s="5"/>
      <c r="BR82" s="2">
        <f>SUM(BR80:BR81)</f>
        <v>3604</v>
      </c>
      <c r="BS82" s="5"/>
      <c r="BV82" s="6"/>
      <c r="BW82" s="24">
        <f>SUM(BW78:BW81)</f>
        <v>3937</v>
      </c>
      <c r="BX82" s="13">
        <v>14</v>
      </c>
      <c r="BY82" s="14">
        <f>BW82-(BX82*35)</f>
        <v>3447</v>
      </c>
      <c r="BZ82" s="6">
        <v>5800</v>
      </c>
      <c r="CA82" s="25">
        <f>BZ82*BY82</f>
        <v>19992600</v>
      </c>
      <c r="CJ82">
        <v>0.24</v>
      </c>
      <c r="CK82">
        <f>CM45</f>
        <v>15028</v>
      </c>
      <c r="CN82" s="10"/>
      <c r="CO82" s="10"/>
      <c r="CP82" s="10"/>
      <c r="CQ82" s="5"/>
      <c r="CR82" s="5"/>
      <c r="CS82" s="5"/>
      <c r="CT82" s="5">
        <f>SUM(CT77:CT81)</f>
        <v>10363</v>
      </c>
      <c r="CU82" s="5"/>
      <c r="CX82">
        <v>51</v>
      </c>
      <c r="CY82" t="s">
        <v>253</v>
      </c>
      <c r="CZ82">
        <v>1747</v>
      </c>
      <c r="DA82">
        <v>1757</v>
      </c>
      <c r="DD82">
        <v>44</v>
      </c>
      <c r="DE82" t="s">
        <v>123</v>
      </c>
      <c r="DF82">
        <v>1816</v>
      </c>
      <c r="DG82">
        <v>2384</v>
      </c>
      <c r="DL82">
        <v>52</v>
      </c>
      <c r="DM82" t="s">
        <v>120</v>
      </c>
      <c r="DN82">
        <v>1744</v>
      </c>
      <c r="DO82">
        <v>108</v>
      </c>
      <c r="DS82">
        <v>46</v>
      </c>
      <c r="DT82" t="s">
        <v>120</v>
      </c>
      <c r="DU82">
        <v>1877</v>
      </c>
      <c r="DV82">
        <v>2446</v>
      </c>
      <c r="DZ82">
        <v>49</v>
      </c>
      <c r="EA82" t="s">
        <v>119</v>
      </c>
      <c r="EB82">
        <v>1512</v>
      </c>
      <c r="EC82">
        <v>345</v>
      </c>
    </row>
    <row r="83" spans="2:133" x14ac:dyDescent="0.25">
      <c r="H83" s="5">
        <v>53</v>
      </c>
      <c r="I83" s="5" t="s">
        <v>122</v>
      </c>
      <c r="J83" s="5">
        <v>1417</v>
      </c>
      <c r="K83" s="21">
        <v>143</v>
      </c>
      <c r="L83" s="5"/>
      <c r="P83" s="5"/>
      <c r="Q83" s="13">
        <v>0.22</v>
      </c>
      <c r="R83" s="11"/>
      <c r="S83" s="15"/>
      <c r="T83" s="5"/>
      <c r="X83" s="5"/>
      <c r="Y83" s="16"/>
      <c r="Z83" s="11"/>
      <c r="AA83" s="14">
        <f>SUM(AA50:AA82)</f>
        <v>37319</v>
      </c>
      <c r="AB83" s="5"/>
      <c r="AF83" s="5">
        <v>51</v>
      </c>
      <c r="AG83" s="16" t="s">
        <v>119</v>
      </c>
      <c r="AH83" s="11">
        <v>1513</v>
      </c>
      <c r="AI83" s="15">
        <v>2507</v>
      </c>
      <c r="AJ83" s="5"/>
      <c r="AM83" s="5">
        <v>0.22</v>
      </c>
      <c r="AN83" s="5"/>
      <c r="AO83" s="5"/>
      <c r="AP83" s="5"/>
      <c r="AQ83" s="5"/>
      <c r="AT83" s="5">
        <v>50</v>
      </c>
      <c r="AU83" s="5" t="s">
        <v>119</v>
      </c>
      <c r="AV83" s="5">
        <v>1512</v>
      </c>
      <c r="AW83" s="5">
        <v>3303</v>
      </c>
      <c r="AX83" s="5"/>
      <c r="BA83" s="5">
        <v>59</v>
      </c>
      <c r="BB83" s="5" t="s">
        <v>119</v>
      </c>
      <c r="BC83" s="5">
        <v>1512</v>
      </c>
      <c r="BD83" s="5">
        <v>3303</v>
      </c>
      <c r="BE83" s="5"/>
      <c r="BH83" s="5">
        <v>65</v>
      </c>
      <c r="BI83" s="5" t="s">
        <v>120</v>
      </c>
      <c r="BJ83" s="5">
        <v>1548</v>
      </c>
      <c r="BK83" s="5">
        <v>122</v>
      </c>
      <c r="BL83" s="5"/>
      <c r="BV83" s="5"/>
      <c r="BW83" s="5"/>
      <c r="BX83" s="16"/>
      <c r="BY83" s="15"/>
      <c r="BZ83" s="5"/>
      <c r="CA83" s="5"/>
      <c r="CJ83">
        <v>0.22</v>
      </c>
      <c r="CK83">
        <f>CM51</f>
        <v>2827</v>
      </c>
      <c r="CN83" s="10"/>
      <c r="CO83" s="10"/>
      <c r="CP83" s="10"/>
      <c r="CX83">
        <v>52</v>
      </c>
      <c r="CY83" t="s">
        <v>120</v>
      </c>
      <c r="CZ83">
        <v>1744</v>
      </c>
      <c r="DA83">
        <v>705</v>
      </c>
      <c r="DD83">
        <v>45</v>
      </c>
      <c r="DE83" t="s">
        <v>121</v>
      </c>
      <c r="DF83">
        <v>1711</v>
      </c>
      <c r="DG83">
        <v>75</v>
      </c>
      <c r="DL83">
        <v>53</v>
      </c>
      <c r="DM83" t="s">
        <v>119</v>
      </c>
      <c r="DN83">
        <v>1563</v>
      </c>
      <c r="DO83">
        <v>83</v>
      </c>
      <c r="DS83">
        <v>47</v>
      </c>
      <c r="DT83" t="s">
        <v>118</v>
      </c>
      <c r="DU83">
        <v>1887</v>
      </c>
      <c r="DV83">
        <v>2459</v>
      </c>
      <c r="DZ83">
        <v>50</v>
      </c>
      <c r="EA83" t="s">
        <v>122</v>
      </c>
      <c r="EB83">
        <v>1846</v>
      </c>
      <c r="EC83">
        <v>3171</v>
      </c>
    </row>
    <row r="84" spans="2:133" x14ac:dyDescent="0.25">
      <c r="H84" s="5">
        <v>54</v>
      </c>
      <c r="I84" s="5" t="s">
        <v>123</v>
      </c>
      <c r="J84" s="5">
        <v>1494</v>
      </c>
      <c r="K84" s="21">
        <v>3159</v>
      </c>
      <c r="L84" s="5"/>
      <c r="P84" s="5">
        <v>52</v>
      </c>
      <c r="Q84" s="16" t="s">
        <v>119</v>
      </c>
      <c r="R84" s="11">
        <v>1335</v>
      </c>
      <c r="S84" s="15">
        <v>102</v>
      </c>
      <c r="T84" s="5"/>
      <c r="X84" s="5"/>
      <c r="Y84" s="13">
        <v>0.22</v>
      </c>
      <c r="Z84" s="11"/>
      <c r="AA84" s="15"/>
      <c r="AB84" s="5"/>
      <c r="AF84" s="5">
        <v>52</v>
      </c>
      <c r="AG84" s="16" t="s">
        <v>118</v>
      </c>
      <c r="AH84" s="11">
        <v>1514</v>
      </c>
      <c r="AI84" s="15">
        <v>3285</v>
      </c>
      <c r="AJ84" s="5"/>
      <c r="AM84" s="5">
        <v>51</v>
      </c>
      <c r="AN84" s="5" t="s">
        <v>119</v>
      </c>
      <c r="AO84" s="5">
        <v>1512</v>
      </c>
      <c r="AP84" s="5">
        <v>3303</v>
      </c>
      <c r="AQ84" s="5"/>
      <c r="AT84" s="5">
        <v>51</v>
      </c>
      <c r="AU84" s="5" t="s">
        <v>119</v>
      </c>
      <c r="AV84" s="5">
        <v>1513</v>
      </c>
      <c r="AW84" s="5">
        <v>1912</v>
      </c>
      <c r="AX84" s="5"/>
      <c r="BA84" s="5">
        <v>60</v>
      </c>
      <c r="BB84" s="5" t="s">
        <v>119</v>
      </c>
      <c r="BC84" s="5">
        <v>1513</v>
      </c>
      <c r="BD84" s="5">
        <v>1390</v>
      </c>
      <c r="BE84" s="5"/>
      <c r="BL84" s="5"/>
      <c r="BV84" s="5" t="s">
        <v>216</v>
      </c>
      <c r="BW84" s="5"/>
      <c r="BX84" s="16"/>
      <c r="BY84" s="15"/>
      <c r="BZ84" s="5"/>
      <c r="CA84" s="5"/>
      <c r="CJ84">
        <v>0.2</v>
      </c>
      <c r="CK84">
        <f>CM63</f>
        <v>14085</v>
      </c>
      <c r="CN84" s="10"/>
      <c r="CO84" s="10"/>
      <c r="CP84" s="10"/>
      <c r="CQ84" t="s">
        <v>323</v>
      </c>
      <c r="CR84" t="s">
        <v>116</v>
      </c>
      <c r="CS84" t="s">
        <v>211</v>
      </c>
      <c r="CT84" t="s">
        <v>212</v>
      </c>
      <c r="CU84" t="s">
        <v>139</v>
      </c>
      <c r="CV84" t="s">
        <v>213</v>
      </c>
      <c r="CX84">
        <v>53</v>
      </c>
      <c r="CY84" t="s">
        <v>123</v>
      </c>
      <c r="CZ84">
        <v>1816</v>
      </c>
      <c r="DA84">
        <v>3251</v>
      </c>
      <c r="DD84">
        <v>46</v>
      </c>
      <c r="DE84" t="s">
        <v>121</v>
      </c>
      <c r="DF84">
        <v>1747</v>
      </c>
      <c r="DG84">
        <v>1735</v>
      </c>
      <c r="DL84">
        <v>54</v>
      </c>
      <c r="DM84" t="s">
        <v>119</v>
      </c>
      <c r="DN84">
        <v>1777</v>
      </c>
      <c r="DO84">
        <v>597</v>
      </c>
      <c r="DS84">
        <v>48</v>
      </c>
      <c r="DT84" t="s">
        <v>118</v>
      </c>
      <c r="DU84">
        <v>1854</v>
      </c>
      <c r="DV84">
        <v>447</v>
      </c>
      <c r="DZ84">
        <v>51</v>
      </c>
      <c r="EA84" t="s">
        <v>119</v>
      </c>
      <c r="EB84">
        <v>1874</v>
      </c>
      <c r="EC84">
        <v>3025</v>
      </c>
    </row>
    <row r="85" spans="2:133" x14ac:dyDescent="0.25">
      <c r="B85" s="5" t="s">
        <v>130</v>
      </c>
      <c r="C85" s="5" t="s">
        <v>116</v>
      </c>
      <c r="D85" s="5" t="s">
        <v>131</v>
      </c>
      <c r="E85" s="5" t="s">
        <v>132</v>
      </c>
      <c r="F85" s="5" t="s">
        <v>133</v>
      </c>
      <c r="H85" s="5">
        <v>55</v>
      </c>
      <c r="I85" s="5" t="s">
        <v>123</v>
      </c>
      <c r="J85" s="5">
        <v>1460</v>
      </c>
      <c r="K85" s="21">
        <v>1947</v>
      </c>
      <c r="L85" s="5"/>
      <c r="P85" s="5">
        <v>53</v>
      </c>
      <c r="Q85" s="16" t="s">
        <v>119</v>
      </c>
      <c r="R85" s="11">
        <v>1512</v>
      </c>
      <c r="S85" s="15">
        <v>3303</v>
      </c>
      <c r="T85" s="5"/>
      <c r="X85" s="5">
        <v>52</v>
      </c>
      <c r="Y85" s="16" t="s">
        <v>119</v>
      </c>
      <c r="Z85" s="11">
        <v>1335</v>
      </c>
      <c r="AA85" s="15">
        <v>102</v>
      </c>
      <c r="AB85" s="5"/>
      <c r="AF85" s="5">
        <v>53</v>
      </c>
      <c r="AG85" s="16" t="s">
        <v>118</v>
      </c>
      <c r="AH85" s="11">
        <v>1515</v>
      </c>
      <c r="AI85" s="15">
        <v>2575</v>
      </c>
      <c r="AJ85" s="5"/>
      <c r="AM85" s="5">
        <v>52</v>
      </c>
      <c r="AN85" s="5" t="s">
        <v>119</v>
      </c>
      <c r="AO85" s="5">
        <v>1513</v>
      </c>
      <c r="AP85" s="5">
        <v>2080</v>
      </c>
      <c r="AQ85" s="5"/>
      <c r="AT85" s="5">
        <v>52</v>
      </c>
      <c r="AU85" s="5" t="s">
        <v>119</v>
      </c>
      <c r="AV85" s="5">
        <v>1335</v>
      </c>
      <c r="AW85" s="5">
        <v>102</v>
      </c>
      <c r="AX85" s="5"/>
      <c r="BA85" s="5">
        <v>61</v>
      </c>
      <c r="BB85" s="5" t="s">
        <v>119</v>
      </c>
      <c r="BC85" s="5">
        <v>1335</v>
      </c>
      <c r="BD85" s="5">
        <v>96</v>
      </c>
      <c r="BE85" s="5"/>
      <c r="BO85" s="5" t="s">
        <v>130</v>
      </c>
      <c r="BP85" s="16" t="s">
        <v>116</v>
      </c>
      <c r="BQ85" s="11" t="s">
        <v>211</v>
      </c>
      <c r="BR85" s="21" t="s">
        <v>212</v>
      </c>
      <c r="BS85" s="5" t="s">
        <v>139</v>
      </c>
      <c r="BT85" s="5" t="s">
        <v>213</v>
      </c>
      <c r="BV85" s="5">
        <v>0.28000000000000003</v>
      </c>
      <c r="BW85" s="26">
        <f>BY40</f>
        <v>6284</v>
      </c>
      <c r="BX85" s="16"/>
      <c r="BY85" s="15"/>
      <c r="BZ85" s="5"/>
      <c r="CA85" s="5"/>
      <c r="CJ85">
        <v>0.18</v>
      </c>
      <c r="CK85">
        <f>CM70</f>
        <v>9427</v>
      </c>
      <c r="CN85" s="10"/>
      <c r="CO85" s="10"/>
      <c r="CP85" s="10"/>
      <c r="CQ85" t="s">
        <v>324</v>
      </c>
      <c r="DA85">
        <f>SUM(DA77:DA84)</f>
        <v>11402</v>
      </c>
      <c r="DD85">
        <v>47</v>
      </c>
      <c r="DE85" t="s">
        <v>122</v>
      </c>
      <c r="DF85">
        <v>1600</v>
      </c>
      <c r="DG85">
        <v>318</v>
      </c>
      <c r="DL85">
        <v>55</v>
      </c>
      <c r="DM85" t="s">
        <v>119</v>
      </c>
      <c r="DN85">
        <v>1874</v>
      </c>
      <c r="DO85">
        <v>3207</v>
      </c>
      <c r="DS85">
        <v>49</v>
      </c>
      <c r="DT85" t="s">
        <v>118</v>
      </c>
      <c r="DU85">
        <v>1806</v>
      </c>
      <c r="DV85">
        <v>159</v>
      </c>
      <c r="DZ85">
        <v>52</v>
      </c>
      <c r="EA85" t="s">
        <v>118</v>
      </c>
      <c r="EB85">
        <v>1875</v>
      </c>
      <c r="EC85">
        <v>1320</v>
      </c>
    </row>
    <row r="86" spans="2:133" x14ac:dyDescent="0.25">
      <c r="B86" s="5">
        <v>0.45</v>
      </c>
      <c r="C86" s="5">
        <f>E9</f>
        <v>3795</v>
      </c>
      <c r="D86" s="5">
        <v>4</v>
      </c>
      <c r="E86" s="5"/>
      <c r="F86" s="5"/>
      <c r="H86" s="5">
        <v>56</v>
      </c>
      <c r="I86" s="5" t="s">
        <v>123</v>
      </c>
      <c r="J86" s="5">
        <v>1403</v>
      </c>
      <c r="K86" s="21">
        <v>135</v>
      </c>
      <c r="L86" s="5"/>
      <c r="P86" s="5">
        <v>54</v>
      </c>
      <c r="Q86" s="16" t="s">
        <v>119</v>
      </c>
      <c r="R86" s="11">
        <v>1513</v>
      </c>
      <c r="S86" s="15">
        <v>3220</v>
      </c>
      <c r="T86" s="5"/>
      <c r="X86" s="5">
        <v>53</v>
      </c>
      <c r="Y86" s="16" t="s">
        <v>119</v>
      </c>
      <c r="Z86" s="11">
        <v>1512</v>
      </c>
      <c r="AA86" s="15">
        <v>3303</v>
      </c>
      <c r="AB86" s="5"/>
      <c r="AF86" s="5"/>
      <c r="AG86" s="16"/>
      <c r="AH86" s="11"/>
      <c r="AI86" s="14">
        <f>SUM(AI81:AI85)</f>
        <v>11766</v>
      </c>
      <c r="AJ86" s="5"/>
      <c r="AM86" s="5">
        <v>53</v>
      </c>
      <c r="AN86" s="5" t="s">
        <v>119</v>
      </c>
      <c r="AO86" s="5">
        <v>1335</v>
      </c>
      <c r="AP86" s="5">
        <v>102</v>
      </c>
      <c r="AQ86" s="5"/>
      <c r="AT86" s="5">
        <v>53</v>
      </c>
      <c r="AU86" s="5" t="s">
        <v>118</v>
      </c>
      <c r="AV86" s="5">
        <v>1514</v>
      </c>
      <c r="AW86" s="5">
        <v>3285</v>
      </c>
      <c r="AX86" s="5"/>
      <c r="BA86" s="5">
        <v>62</v>
      </c>
      <c r="BB86" s="5" t="s">
        <v>118</v>
      </c>
      <c r="BC86" s="5">
        <v>1514</v>
      </c>
      <c r="BD86" s="5">
        <v>3285</v>
      </c>
      <c r="BE86" s="5"/>
      <c r="BO86" s="5" t="s">
        <v>214</v>
      </c>
      <c r="BP86" s="16"/>
      <c r="BQ86" s="11"/>
      <c r="BR86" s="21"/>
      <c r="BS86" s="5"/>
      <c r="BT86" s="5"/>
      <c r="BV86" s="5">
        <v>0.24</v>
      </c>
      <c r="BW86" s="26">
        <f>BY56</f>
        <v>15553</v>
      </c>
      <c r="BX86" s="16"/>
      <c r="BY86" s="15"/>
      <c r="BZ86" s="5"/>
      <c r="CA86" s="5"/>
      <c r="CC86" t="s">
        <v>323</v>
      </c>
      <c r="CD86" t="s">
        <v>116</v>
      </c>
      <c r="CE86" t="s">
        <v>211</v>
      </c>
      <c r="CF86" t="s">
        <v>212</v>
      </c>
      <c r="CG86" t="s">
        <v>139</v>
      </c>
      <c r="CH86" t="s">
        <v>213</v>
      </c>
      <c r="CK86">
        <f>SUM(CK81:CK85)</f>
        <v>43151</v>
      </c>
      <c r="CL86">
        <v>35</v>
      </c>
      <c r="CM86">
        <f>CK86-(CL86*60)</f>
        <v>41051</v>
      </c>
      <c r="CN86" s="10">
        <v>2150</v>
      </c>
      <c r="CO86" s="10">
        <f>CM86*CN86</f>
        <v>88259650</v>
      </c>
      <c r="CP86" s="10"/>
      <c r="CQ86">
        <v>0.45</v>
      </c>
      <c r="CR86">
        <f>CT7</f>
        <v>1182</v>
      </c>
      <c r="DD86">
        <v>48</v>
      </c>
      <c r="DE86" t="s">
        <v>120</v>
      </c>
      <c r="DF86">
        <v>1817</v>
      </c>
      <c r="DG86">
        <v>2805</v>
      </c>
      <c r="DL86">
        <v>56</v>
      </c>
      <c r="DM86" t="s">
        <v>119</v>
      </c>
      <c r="DN86">
        <v>1847</v>
      </c>
      <c r="DO86">
        <v>3189</v>
      </c>
      <c r="DT86" t="s">
        <v>118</v>
      </c>
      <c r="DU86">
        <v>1805</v>
      </c>
      <c r="DV86">
        <v>86</v>
      </c>
      <c r="DZ86">
        <v>53</v>
      </c>
      <c r="EA86" t="s">
        <v>120</v>
      </c>
      <c r="EB86">
        <v>1883</v>
      </c>
      <c r="EC86">
        <v>1718</v>
      </c>
    </row>
    <row r="87" spans="2:133" x14ac:dyDescent="0.25">
      <c r="B87" s="5">
        <v>0.55000000000000004</v>
      </c>
      <c r="C87" s="5">
        <f>E28</f>
        <v>13262</v>
      </c>
      <c r="D87" s="5">
        <v>16</v>
      </c>
      <c r="E87" s="5"/>
      <c r="F87" s="5"/>
      <c r="H87" s="5">
        <v>57</v>
      </c>
      <c r="I87" s="5" t="s">
        <v>124</v>
      </c>
      <c r="J87" s="5">
        <v>1487</v>
      </c>
      <c r="K87" s="21">
        <v>2844</v>
      </c>
      <c r="L87" s="5"/>
      <c r="P87" s="5">
        <v>55</v>
      </c>
      <c r="Q87" s="16" t="s">
        <v>120</v>
      </c>
      <c r="R87" s="11">
        <v>1466</v>
      </c>
      <c r="S87" s="15">
        <v>2972</v>
      </c>
      <c r="T87" s="5"/>
      <c r="X87" s="5">
        <v>54</v>
      </c>
      <c r="Y87" s="16" t="s">
        <v>119</v>
      </c>
      <c r="Z87" s="11">
        <v>1513</v>
      </c>
      <c r="AA87" s="15">
        <v>3220</v>
      </c>
      <c r="AB87" s="5"/>
      <c r="AF87" s="5"/>
      <c r="AG87" s="13">
        <v>0.2</v>
      </c>
      <c r="AH87" s="11"/>
      <c r="AI87" s="15"/>
      <c r="AJ87" s="5"/>
      <c r="AM87" s="5">
        <v>54</v>
      </c>
      <c r="AN87" s="5" t="s">
        <v>118</v>
      </c>
      <c r="AO87" s="5">
        <v>1514</v>
      </c>
      <c r="AP87" s="5">
        <v>3285</v>
      </c>
      <c r="AQ87" s="5"/>
      <c r="AT87" s="5">
        <v>54</v>
      </c>
      <c r="AU87" s="5" t="s">
        <v>118</v>
      </c>
      <c r="AV87" s="5">
        <v>1515</v>
      </c>
      <c r="AW87" s="5">
        <v>1266</v>
      </c>
      <c r="AX87" s="5"/>
      <c r="BA87" s="5">
        <v>63</v>
      </c>
      <c r="BB87" s="5" t="s">
        <v>118</v>
      </c>
      <c r="BC87" s="5">
        <v>1515</v>
      </c>
      <c r="BD87" s="5">
        <v>457</v>
      </c>
      <c r="BE87" s="5"/>
      <c r="BH87" s="5" t="s">
        <v>130</v>
      </c>
      <c r="BI87" s="16" t="s">
        <v>116</v>
      </c>
      <c r="BJ87" s="11" t="s">
        <v>211</v>
      </c>
      <c r="BK87" s="21" t="s">
        <v>212</v>
      </c>
      <c r="BL87" s="5" t="s">
        <v>139</v>
      </c>
      <c r="BM87" s="5" t="s">
        <v>213</v>
      </c>
      <c r="BO87" s="5">
        <v>0.45</v>
      </c>
      <c r="BP87" s="22">
        <f>BR8</f>
        <v>1876</v>
      </c>
      <c r="BQ87" s="16"/>
      <c r="BR87" s="15"/>
      <c r="BS87" s="5"/>
      <c r="BT87" s="5"/>
      <c r="BV87" s="5">
        <v>0.22</v>
      </c>
      <c r="BW87" s="26">
        <f>BY59</f>
        <v>102</v>
      </c>
      <c r="BX87" s="16"/>
      <c r="BY87" s="15"/>
      <c r="BZ87" s="5"/>
      <c r="CA87" s="5"/>
      <c r="CC87" t="s">
        <v>324</v>
      </c>
      <c r="CQ87">
        <v>0.55000000000000004</v>
      </c>
      <c r="CR87">
        <f>CT11</f>
        <v>74</v>
      </c>
      <c r="CX87">
        <v>0.18</v>
      </c>
      <c r="DD87">
        <v>49</v>
      </c>
      <c r="DE87" t="s">
        <v>120</v>
      </c>
      <c r="DF87">
        <v>1744</v>
      </c>
      <c r="DG87">
        <v>108</v>
      </c>
      <c r="DL87">
        <v>57</v>
      </c>
      <c r="DM87" t="s">
        <v>123</v>
      </c>
      <c r="DN87">
        <v>1816</v>
      </c>
      <c r="DO87">
        <v>1875</v>
      </c>
      <c r="DV87">
        <f>SUM(DV80:DV86)</f>
        <v>7874</v>
      </c>
      <c r="DZ87">
        <v>54</v>
      </c>
      <c r="EA87" t="s">
        <v>118</v>
      </c>
      <c r="EB87">
        <v>1884</v>
      </c>
      <c r="EC87">
        <v>3276</v>
      </c>
    </row>
    <row r="88" spans="2:133" x14ac:dyDescent="0.25">
      <c r="B88" s="5" t="s">
        <v>134</v>
      </c>
      <c r="C88" s="5">
        <f>E33</f>
        <v>1574</v>
      </c>
      <c r="D88" s="5">
        <v>2</v>
      </c>
      <c r="E88" s="5"/>
      <c r="F88" s="5"/>
      <c r="H88" s="5">
        <v>58</v>
      </c>
      <c r="I88" s="5" t="s">
        <v>118</v>
      </c>
      <c r="J88" s="5">
        <v>1473</v>
      </c>
      <c r="K88" s="21">
        <v>85</v>
      </c>
      <c r="L88" s="5"/>
      <c r="P88" s="5">
        <v>56</v>
      </c>
      <c r="Q88" s="16" t="s">
        <v>118</v>
      </c>
      <c r="R88" s="11">
        <v>1514</v>
      </c>
      <c r="S88" s="15">
        <v>3285</v>
      </c>
      <c r="T88" s="5"/>
      <c r="X88" s="5">
        <v>55</v>
      </c>
      <c r="Y88" s="16" t="s">
        <v>120</v>
      </c>
      <c r="Z88" s="11">
        <v>1466</v>
      </c>
      <c r="AA88" s="15">
        <v>0</v>
      </c>
      <c r="AB88" s="5"/>
      <c r="AF88" s="5">
        <v>54</v>
      </c>
      <c r="AG88" s="16" t="s">
        <v>124</v>
      </c>
      <c r="AH88" s="11">
        <v>1517</v>
      </c>
      <c r="AI88" s="15">
        <v>1859</v>
      </c>
      <c r="AJ88" s="5"/>
      <c r="AM88" s="5">
        <v>55</v>
      </c>
      <c r="AN88" s="5" t="s">
        <v>118</v>
      </c>
      <c r="AO88" s="5">
        <v>1515</v>
      </c>
      <c r="AP88" s="5">
        <v>1266</v>
      </c>
      <c r="AQ88" s="5"/>
      <c r="AT88" s="5"/>
      <c r="AU88" s="5"/>
      <c r="AV88" s="5"/>
      <c r="AW88" s="6">
        <f>SUM(AW83:AW87)</f>
        <v>9868</v>
      </c>
      <c r="AX88" s="5"/>
      <c r="BA88" s="5"/>
      <c r="BB88" s="5"/>
      <c r="BC88" s="5"/>
      <c r="BD88" s="6">
        <f>SUM(BD83:BD87)</f>
        <v>8531</v>
      </c>
      <c r="BE88" s="5"/>
      <c r="BH88" s="5" t="s">
        <v>214</v>
      </c>
      <c r="BI88" s="16"/>
      <c r="BJ88" s="11"/>
      <c r="BK88" s="21"/>
      <c r="BL88" s="5"/>
      <c r="BM88" s="5"/>
      <c r="BO88" s="5">
        <v>0.55000000000000004</v>
      </c>
      <c r="BP88" s="22">
        <f>BR17</f>
        <v>1349</v>
      </c>
      <c r="BQ88" s="16"/>
      <c r="BR88" s="15"/>
      <c r="BS88" s="5"/>
      <c r="BT88" s="5"/>
      <c r="BV88" s="5">
        <v>0.2</v>
      </c>
      <c r="BW88" s="26">
        <f>BY70</f>
        <v>10933</v>
      </c>
      <c r="BX88" s="16"/>
      <c r="BY88" s="15"/>
      <c r="BZ88" s="5"/>
      <c r="CA88" s="5"/>
      <c r="CC88">
        <v>0.45</v>
      </c>
      <c r="CD88">
        <f>CF7</f>
        <v>1374</v>
      </c>
      <c r="CQ88" t="s">
        <v>215</v>
      </c>
      <c r="CR88">
        <f>CT20</f>
        <v>3680</v>
      </c>
      <c r="CX88">
        <v>54</v>
      </c>
      <c r="CY88" t="s">
        <v>119</v>
      </c>
      <c r="CZ88">
        <v>1741</v>
      </c>
      <c r="DA88">
        <v>3058</v>
      </c>
      <c r="DD88">
        <v>50</v>
      </c>
      <c r="DE88" t="s">
        <v>124</v>
      </c>
      <c r="DF88">
        <v>1834</v>
      </c>
      <c r="DG88">
        <v>3258</v>
      </c>
      <c r="DL88">
        <v>58</v>
      </c>
      <c r="DM88" t="s">
        <v>118</v>
      </c>
      <c r="DN88">
        <v>1832</v>
      </c>
      <c r="DO88">
        <v>163</v>
      </c>
      <c r="DZ88">
        <v>55</v>
      </c>
      <c r="EA88" t="s">
        <v>120</v>
      </c>
      <c r="EB88">
        <v>1891</v>
      </c>
      <c r="EC88">
        <v>2748</v>
      </c>
    </row>
    <row r="89" spans="2:133" x14ac:dyDescent="0.25">
      <c r="B89" s="5">
        <v>0.7</v>
      </c>
      <c r="C89" s="5">
        <f>E36</f>
        <v>771</v>
      </c>
      <c r="D89" s="5">
        <v>1</v>
      </c>
      <c r="E89" s="5"/>
      <c r="F89" s="5"/>
      <c r="H89" s="5">
        <v>59</v>
      </c>
      <c r="I89" s="5" t="s">
        <v>129</v>
      </c>
      <c r="J89" s="5">
        <v>1285</v>
      </c>
      <c r="K89" s="21">
        <v>100</v>
      </c>
      <c r="L89" s="5"/>
      <c r="P89" s="5">
        <v>57</v>
      </c>
      <c r="Q89" s="16" t="s">
        <v>118</v>
      </c>
      <c r="R89" s="11">
        <v>1515</v>
      </c>
      <c r="S89" s="15">
        <v>3304</v>
      </c>
      <c r="T89" s="5"/>
      <c r="X89" s="5">
        <v>56</v>
      </c>
      <c r="Y89" s="16" t="s">
        <v>118</v>
      </c>
      <c r="Z89" s="11">
        <v>1514</v>
      </c>
      <c r="AA89" s="15">
        <v>3285</v>
      </c>
      <c r="AB89" s="5"/>
      <c r="AF89" s="5">
        <v>55</v>
      </c>
      <c r="AG89" s="16" t="s">
        <v>122</v>
      </c>
      <c r="AH89" s="11">
        <v>1349</v>
      </c>
      <c r="AI89" s="15">
        <v>805</v>
      </c>
      <c r="AJ89" s="5"/>
      <c r="AM89" s="5"/>
      <c r="AN89" s="5"/>
      <c r="AO89" s="5"/>
      <c r="AP89" s="6">
        <f>SUM(AP84:AP88)</f>
        <v>10036</v>
      </c>
      <c r="AQ89" s="5"/>
      <c r="AT89" s="5">
        <v>0.2</v>
      </c>
      <c r="AU89" s="5"/>
      <c r="AV89" s="5"/>
      <c r="AW89" s="5"/>
      <c r="AX89" s="5"/>
      <c r="BA89" s="5">
        <v>0.2</v>
      </c>
      <c r="BB89" s="5"/>
      <c r="BC89" s="5"/>
      <c r="BD89" s="5"/>
      <c r="BE89" s="5"/>
      <c r="BH89" s="5">
        <v>0.45</v>
      </c>
      <c r="BI89" s="22">
        <f>BK8</f>
        <v>1930</v>
      </c>
      <c r="BJ89" s="16"/>
      <c r="BK89" s="15"/>
      <c r="BL89" s="5"/>
      <c r="BM89" s="5"/>
      <c r="BO89" s="23" t="s">
        <v>215</v>
      </c>
      <c r="BP89" s="22">
        <f>BR26</f>
        <v>1165</v>
      </c>
      <c r="BQ89" s="16"/>
      <c r="BR89" s="15"/>
      <c r="BS89" s="5"/>
      <c r="BT89" s="5"/>
      <c r="BV89" s="5">
        <v>0.18</v>
      </c>
      <c r="BW89" s="26">
        <f>BY73</f>
        <v>716</v>
      </c>
      <c r="BX89" s="16"/>
      <c r="BY89" s="15"/>
      <c r="BZ89" s="5"/>
      <c r="CA89" s="5"/>
      <c r="CC89">
        <v>0.55000000000000004</v>
      </c>
      <c r="CD89">
        <f>CF13</f>
        <v>263</v>
      </c>
      <c r="CQ89">
        <v>0.7</v>
      </c>
      <c r="CR89">
        <f>CT29+CT23</f>
        <v>1344</v>
      </c>
      <c r="CU89" s="10"/>
      <c r="CV89" s="10"/>
      <c r="CX89">
        <v>55</v>
      </c>
      <c r="CY89" t="s">
        <v>122</v>
      </c>
      <c r="CZ89">
        <v>1731</v>
      </c>
      <c r="DA89">
        <v>741</v>
      </c>
      <c r="DD89">
        <v>51</v>
      </c>
      <c r="DE89" t="s">
        <v>124</v>
      </c>
      <c r="DF89">
        <v>1769</v>
      </c>
      <c r="DG89">
        <v>831</v>
      </c>
      <c r="DL89">
        <v>59</v>
      </c>
      <c r="DM89" t="s">
        <v>118</v>
      </c>
      <c r="DN89">
        <v>1850</v>
      </c>
      <c r="DO89">
        <v>1159</v>
      </c>
      <c r="DS89">
        <v>0.2</v>
      </c>
      <c r="DZ89">
        <v>56</v>
      </c>
      <c r="EA89" t="s">
        <v>119</v>
      </c>
      <c r="EB89">
        <v>1893</v>
      </c>
      <c r="EC89">
        <v>69</v>
      </c>
    </row>
    <row r="90" spans="2:133" x14ac:dyDescent="0.25">
      <c r="B90" s="5"/>
      <c r="C90" s="5">
        <f>SUM(C86:C89)</f>
        <v>19402</v>
      </c>
      <c r="D90" s="5">
        <f>SUM(D86:D89)</f>
        <v>23</v>
      </c>
      <c r="E90" s="5">
        <f>D90*35</f>
        <v>805</v>
      </c>
      <c r="F90" s="5"/>
      <c r="H90" s="6"/>
      <c r="I90" s="6"/>
      <c r="J90" s="6"/>
      <c r="K90" s="35">
        <f>SUM(K55:K89)</f>
        <v>39966</v>
      </c>
      <c r="L90" s="6"/>
      <c r="P90" s="5"/>
      <c r="Q90" s="16"/>
      <c r="R90" s="11"/>
      <c r="S90" s="14">
        <f>SUM(S84:S89)</f>
        <v>16186</v>
      </c>
      <c r="T90" s="5"/>
      <c r="X90" s="5">
        <v>57</v>
      </c>
      <c r="Y90" s="16" t="s">
        <v>118</v>
      </c>
      <c r="Z90" s="11">
        <v>1515</v>
      </c>
      <c r="AA90" s="15">
        <v>3088</v>
      </c>
      <c r="AB90" s="5"/>
      <c r="AF90" s="5">
        <v>56</v>
      </c>
      <c r="AG90" s="16" t="s">
        <v>123</v>
      </c>
      <c r="AH90" s="11">
        <v>1518</v>
      </c>
      <c r="AI90" s="15">
        <v>1440</v>
      </c>
      <c r="AJ90" s="5"/>
      <c r="AM90" s="5">
        <v>0.2</v>
      </c>
      <c r="AN90" s="5"/>
      <c r="AO90" s="5"/>
      <c r="AP90" s="5"/>
      <c r="AQ90" s="5"/>
      <c r="AT90" s="5">
        <v>55</v>
      </c>
      <c r="AU90" s="5" t="s">
        <v>119</v>
      </c>
      <c r="AV90" s="5">
        <v>1563</v>
      </c>
      <c r="AW90" s="5">
        <v>2552</v>
      </c>
      <c r="AX90" s="5"/>
      <c r="BA90" s="5">
        <v>64</v>
      </c>
      <c r="BB90" s="5" t="s">
        <v>119</v>
      </c>
      <c r="BC90" s="5">
        <v>1563</v>
      </c>
      <c r="BD90" s="5">
        <v>2181</v>
      </c>
      <c r="BE90" s="5"/>
      <c r="BH90" s="5">
        <v>0.55000000000000004</v>
      </c>
      <c r="BI90" s="22">
        <f>BK18</f>
        <v>1785</v>
      </c>
      <c r="BJ90" s="16"/>
      <c r="BK90" s="15"/>
      <c r="BL90" s="5"/>
      <c r="BM90" s="5"/>
      <c r="BO90" s="5">
        <v>0.7</v>
      </c>
      <c r="BP90" s="22">
        <f>BR33</f>
        <v>2008</v>
      </c>
      <c r="BQ90" s="16"/>
      <c r="BR90" s="15"/>
      <c r="BS90" s="5"/>
      <c r="BT90" s="5"/>
      <c r="BV90" s="6"/>
      <c r="BW90" s="28">
        <f>SUM(BW85:BW89)</f>
        <v>33588</v>
      </c>
      <c r="BX90" s="13">
        <v>32</v>
      </c>
      <c r="BY90" s="14">
        <f>BW90-(BX90*60)</f>
        <v>31668</v>
      </c>
      <c r="BZ90" s="6">
        <v>2100</v>
      </c>
      <c r="CA90" s="25">
        <f>BZ90*BY90</f>
        <v>66502800</v>
      </c>
      <c r="CC90" t="s">
        <v>215</v>
      </c>
      <c r="CD90">
        <f>CF20+CF23</f>
        <v>412</v>
      </c>
      <c r="CJ90" t="s">
        <v>217</v>
      </c>
      <c r="CR90">
        <f>SUM(CR86:CR89)</f>
        <v>6280</v>
      </c>
      <c r="CS90">
        <v>9</v>
      </c>
      <c r="CT90">
        <f>CR90-(CS90*35)</f>
        <v>5965</v>
      </c>
      <c r="CU90" s="10">
        <v>6400</v>
      </c>
      <c r="CV90" s="10">
        <f>CT90*CU90</f>
        <v>38176000</v>
      </c>
      <c r="CW90" s="10"/>
      <c r="CX90">
        <v>56</v>
      </c>
      <c r="CY90" t="s">
        <v>118</v>
      </c>
      <c r="CZ90">
        <v>1740</v>
      </c>
      <c r="DA90">
        <v>1757</v>
      </c>
      <c r="DG90">
        <f>SUM(DG78:DG89)</f>
        <v>15638</v>
      </c>
      <c r="DL90">
        <v>60</v>
      </c>
      <c r="DM90" t="s">
        <v>118</v>
      </c>
      <c r="DN90">
        <v>1875</v>
      </c>
      <c r="DO90">
        <v>3135</v>
      </c>
      <c r="DS90">
        <v>50</v>
      </c>
      <c r="DT90" t="s">
        <v>119</v>
      </c>
      <c r="DU90">
        <v>1563</v>
      </c>
      <c r="DV90">
        <v>83</v>
      </c>
      <c r="DZ90">
        <v>57</v>
      </c>
      <c r="EA90" t="s">
        <v>129</v>
      </c>
      <c r="EB90">
        <v>1907</v>
      </c>
      <c r="EC90">
        <v>2668</v>
      </c>
    </row>
    <row r="91" spans="2:133" x14ac:dyDescent="0.25">
      <c r="B91" s="5"/>
      <c r="C91" s="5"/>
      <c r="D91" s="5"/>
      <c r="E91" s="5"/>
      <c r="F91" s="5"/>
      <c r="H91" s="6"/>
      <c r="I91" s="6"/>
      <c r="J91" s="6"/>
      <c r="K91" s="35"/>
      <c r="L91" s="6"/>
      <c r="P91" s="5"/>
      <c r="Q91" s="16"/>
      <c r="R91" s="11"/>
      <c r="S91" s="14"/>
      <c r="T91" s="5"/>
      <c r="X91" s="5"/>
      <c r="Y91" s="16"/>
      <c r="Z91" s="11"/>
      <c r="AA91" s="15"/>
      <c r="AB91" s="5"/>
      <c r="AF91" s="5"/>
      <c r="AG91" s="16"/>
      <c r="AH91" s="11"/>
      <c r="AI91" s="15"/>
      <c r="AJ91" s="5"/>
      <c r="AM91" s="5"/>
      <c r="AN91" s="5"/>
      <c r="AO91" s="5"/>
      <c r="AP91" s="5"/>
      <c r="AQ91" s="5"/>
      <c r="AT91" s="5"/>
      <c r="AU91" s="5"/>
      <c r="AV91" s="5"/>
      <c r="AW91" s="5"/>
      <c r="AX91" s="5"/>
      <c r="BA91" s="5"/>
      <c r="BB91" s="5"/>
      <c r="BC91" s="5"/>
      <c r="BD91" s="5"/>
      <c r="BE91" s="5"/>
      <c r="BH91" s="23" t="s">
        <v>215</v>
      </c>
      <c r="BI91" s="22">
        <f>BK27</f>
        <v>1199</v>
      </c>
      <c r="BJ91" s="16"/>
      <c r="BK91" s="15"/>
      <c r="BL91" s="5"/>
      <c r="BM91" s="5"/>
      <c r="BO91" s="6"/>
      <c r="BP91" s="24">
        <f>SUM(BP87:BP90)</f>
        <v>6398</v>
      </c>
      <c r="BQ91" s="13">
        <v>20</v>
      </c>
      <c r="BR91" s="14">
        <f>BP91-(BQ91*35)</f>
        <v>5698</v>
      </c>
      <c r="BS91" s="6">
        <v>6400</v>
      </c>
      <c r="BT91" s="25">
        <f>BS91*BR91</f>
        <v>36467200</v>
      </c>
      <c r="BV91" s="6"/>
      <c r="BW91" s="28"/>
      <c r="BX91" s="13"/>
      <c r="BY91" s="14"/>
      <c r="BZ91" s="6"/>
      <c r="CA91" s="25"/>
      <c r="CC91">
        <v>0.7</v>
      </c>
      <c r="CD91">
        <f>CF29</f>
        <v>1387</v>
      </c>
      <c r="CG91" s="10"/>
      <c r="CH91" s="10"/>
      <c r="CI91" s="10"/>
      <c r="CJ91" t="s">
        <v>136</v>
      </c>
      <c r="CK91" t="s">
        <v>137</v>
      </c>
      <c r="CL91" t="s">
        <v>327</v>
      </c>
      <c r="CM91" t="s">
        <v>139</v>
      </c>
      <c r="CU91" s="10"/>
      <c r="CV91" s="10"/>
      <c r="CW91" s="10"/>
      <c r="CX91">
        <v>57</v>
      </c>
      <c r="CY91" t="s">
        <v>253</v>
      </c>
      <c r="CZ91">
        <v>1755</v>
      </c>
      <c r="DA91">
        <v>2049</v>
      </c>
      <c r="DL91">
        <v>61</v>
      </c>
      <c r="DM91" t="s">
        <v>122</v>
      </c>
      <c r="DN91">
        <v>1846</v>
      </c>
      <c r="DO91">
        <v>3185</v>
      </c>
      <c r="DS91">
        <v>51</v>
      </c>
      <c r="DT91" t="s">
        <v>119</v>
      </c>
      <c r="DU91">
        <v>1874</v>
      </c>
      <c r="DV91">
        <v>3207</v>
      </c>
      <c r="EC91">
        <v>23476</v>
      </c>
    </row>
    <row r="92" spans="2:133" x14ac:dyDescent="0.25">
      <c r="B92" s="5" t="s">
        <v>135</v>
      </c>
      <c r="C92" s="5">
        <f>C90-E90</f>
        <v>18597</v>
      </c>
      <c r="D92" s="7">
        <v>2900</v>
      </c>
      <c r="E92" s="7"/>
      <c r="F92" s="7">
        <f>C92*D92</f>
        <v>53931300</v>
      </c>
      <c r="G92" s="34"/>
      <c r="H92" s="6">
        <v>0.22</v>
      </c>
      <c r="I92" s="6"/>
      <c r="J92" s="6"/>
      <c r="K92" s="35"/>
      <c r="L92" s="6"/>
      <c r="P92" s="5"/>
      <c r="Q92" s="13">
        <v>0.2</v>
      </c>
      <c r="R92" s="11"/>
      <c r="S92" s="15"/>
      <c r="T92" s="5"/>
      <c r="X92" s="5"/>
      <c r="Y92" s="16"/>
      <c r="Z92" s="11"/>
      <c r="AA92" s="14">
        <f>SUM(AA85:AA90)</f>
        <v>12998</v>
      </c>
      <c r="AB92" s="5"/>
      <c r="AF92" s="5">
        <v>57</v>
      </c>
      <c r="AG92" s="16" t="s">
        <v>208</v>
      </c>
      <c r="AH92" s="11">
        <v>1519</v>
      </c>
      <c r="AI92" s="15">
        <v>1354</v>
      </c>
      <c r="AJ92" s="5"/>
      <c r="AM92" s="5">
        <v>56</v>
      </c>
      <c r="AN92" s="5" t="s">
        <v>118</v>
      </c>
      <c r="AO92" s="5">
        <v>1546</v>
      </c>
      <c r="AP92" s="5">
        <v>2188</v>
      </c>
      <c r="AQ92" s="5"/>
      <c r="AT92" s="5">
        <v>56</v>
      </c>
      <c r="AU92" s="5" t="s">
        <v>118</v>
      </c>
      <c r="AV92" s="5">
        <v>1347</v>
      </c>
      <c r="AW92" s="5">
        <v>88</v>
      </c>
      <c r="AX92" s="5"/>
      <c r="BA92" s="5">
        <v>65</v>
      </c>
      <c r="BB92" s="5" t="s">
        <v>118</v>
      </c>
      <c r="BC92" s="5">
        <v>1589</v>
      </c>
      <c r="BD92" s="5">
        <v>3288</v>
      </c>
      <c r="BE92" s="5"/>
      <c r="BH92" s="5">
        <v>0.7</v>
      </c>
      <c r="BI92" s="22">
        <f>BK34</f>
        <v>2654</v>
      </c>
      <c r="BJ92" s="16"/>
      <c r="BK92" s="15"/>
      <c r="BL92" s="5"/>
      <c r="BM92" s="5"/>
      <c r="BO92" s="5"/>
      <c r="BP92" s="5"/>
      <c r="BQ92" s="16"/>
      <c r="BR92" s="15"/>
      <c r="BS92" s="5"/>
      <c r="BT92" s="5"/>
      <c r="BV92" s="6"/>
      <c r="BW92" s="28"/>
      <c r="BX92" s="13"/>
      <c r="BY92" s="14"/>
      <c r="BZ92" s="6"/>
      <c r="CA92" s="25">
        <f>SUM(CA82,CA90)</f>
        <v>86495400</v>
      </c>
      <c r="CD92">
        <f>SUM(CD88:CD91)</f>
        <v>3436</v>
      </c>
      <c r="CE92">
        <v>13</v>
      </c>
      <c r="CF92">
        <f>CD92-(CE92*35)</f>
        <v>2981</v>
      </c>
      <c r="CG92" s="10">
        <v>6450</v>
      </c>
      <c r="CH92" s="10">
        <f>CF92*CG92</f>
        <v>19227450</v>
      </c>
      <c r="CI92" s="10"/>
      <c r="CJ92" t="s">
        <v>328</v>
      </c>
      <c r="CK92">
        <v>3</v>
      </c>
      <c r="CL92">
        <v>40000</v>
      </c>
      <c r="CM92">
        <f>CK92*CL92</f>
        <v>120000</v>
      </c>
      <c r="CQ92" t="s">
        <v>325</v>
      </c>
      <c r="CU92" s="10"/>
      <c r="CV92" s="10"/>
      <c r="CW92" s="10"/>
      <c r="CX92">
        <v>58</v>
      </c>
      <c r="CY92" t="s">
        <v>120</v>
      </c>
      <c r="CZ92">
        <v>1819</v>
      </c>
      <c r="DA92">
        <v>3250</v>
      </c>
      <c r="DD92">
        <v>0.18</v>
      </c>
      <c r="DL92">
        <v>62</v>
      </c>
      <c r="DM92" t="s">
        <v>124</v>
      </c>
      <c r="DN92">
        <v>1834</v>
      </c>
      <c r="DO92">
        <v>2585</v>
      </c>
      <c r="DS92">
        <v>52</v>
      </c>
      <c r="DT92" t="s">
        <v>119</v>
      </c>
      <c r="DU92">
        <v>1777</v>
      </c>
      <c r="DV92">
        <v>563</v>
      </c>
    </row>
    <row r="93" spans="2:133" x14ac:dyDescent="0.25">
      <c r="B93" s="5"/>
      <c r="C93" s="5"/>
      <c r="D93" s="5"/>
      <c r="E93" s="5"/>
      <c r="F93" s="5"/>
      <c r="H93" s="5">
        <v>60</v>
      </c>
      <c r="I93" s="5" t="s">
        <v>120</v>
      </c>
      <c r="J93" s="5">
        <v>1460</v>
      </c>
      <c r="K93" s="21">
        <v>3330</v>
      </c>
      <c r="L93" s="5"/>
      <c r="P93" s="5">
        <v>58</v>
      </c>
      <c r="Q93" s="16" t="s">
        <v>124</v>
      </c>
      <c r="R93" s="11">
        <v>1470</v>
      </c>
      <c r="S93" s="15">
        <v>312</v>
      </c>
      <c r="T93" s="5"/>
      <c r="X93" s="5"/>
      <c r="Y93" s="13">
        <v>0.2</v>
      </c>
      <c r="Z93" s="11"/>
      <c r="AA93" s="15"/>
      <c r="AB93" s="5"/>
      <c r="AF93" s="5">
        <v>58</v>
      </c>
      <c r="AG93" s="16" t="s">
        <v>119</v>
      </c>
      <c r="AH93" s="11">
        <v>1347</v>
      </c>
      <c r="AI93" s="15">
        <v>88</v>
      </c>
      <c r="AJ93" s="5"/>
      <c r="AM93" s="5">
        <v>57</v>
      </c>
      <c r="AN93" s="5" t="s">
        <v>118</v>
      </c>
      <c r="AO93" s="5">
        <v>1504</v>
      </c>
      <c r="AP93" s="5">
        <v>85</v>
      </c>
      <c r="AQ93" s="5"/>
      <c r="AT93" s="5">
        <v>57</v>
      </c>
      <c r="AU93" s="5" t="s">
        <v>118</v>
      </c>
      <c r="AV93" s="5">
        <v>1565</v>
      </c>
      <c r="AW93" s="5">
        <v>2568</v>
      </c>
      <c r="AX93" s="5"/>
      <c r="BA93" s="5">
        <v>68</v>
      </c>
      <c r="BB93" s="5" t="s">
        <v>118</v>
      </c>
      <c r="BC93" s="5">
        <v>1504</v>
      </c>
      <c r="BD93" s="5">
        <v>85</v>
      </c>
      <c r="BE93" s="5"/>
      <c r="BH93" s="6"/>
      <c r="BI93" s="24">
        <f>SUM(BI89:BI92)</f>
        <v>7568</v>
      </c>
      <c r="BJ93" s="13">
        <v>30</v>
      </c>
      <c r="BK93" s="14">
        <f>BI93-(BJ93*35)</f>
        <v>6518</v>
      </c>
      <c r="BL93" s="6">
        <v>6400</v>
      </c>
      <c r="BM93" s="25">
        <f>BL93*BK93</f>
        <v>41715200</v>
      </c>
      <c r="BO93" s="5" t="s">
        <v>216</v>
      </c>
      <c r="BP93" s="5"/>
      <c r="BQ93" s="16"/>
      <c r="BR93" s="15"/>
      <c r="BS93" s="5"/>
      <c r="BT93" s="5"/>
      <c r="CG93" s="10"/>
      <c r="CH93" s="10"/>
      <c r="CI93" s="10"/>
      <c r="CJ93" t="s">
        <v>142</v>
      </c>
      <c r="CK93">
        <v>21</v>
      </c>
      <c r="CL93">
        <v>2000</v>
      </c>
      <c r="CM93">
        <f t="shared" ref="CM93:CM96" si="0">CK93*CL93</f>
        <v>42000</v>
      </c>
      <c r="CQ93">
        <v>0.28000000000000003</v>
      </c>
      <c r="CR93">
        <f>CT45</f>
        <v>7386</v>
      </c>
      <c r="CU93" s="10"/>
      <c r="CV93" s="10"/>
      <c r="CW93" s="10"/>
      <c r="DA93">
        <f>SUM(DA88:DA92)</f>
        <v>10855</v>
      </c>
      <c r="DD93">
        <v>52</v>
      </c>
      <c r="DE93" t="s">
        <v>120</v>
      </c>
      <c r="DF93">
        <v>1819</v>
      </c>
      <c r="DG93">
        <v>3165</v>
      </c>
      <c r="DO93">
        <f>SUM(DO80:DO92)</f>
        <v>24976</v>
      </c>
      <c r="DS93">
        <v>53</v>
      </c>
      <c r="DT93" t="s">
        <v>119</v>
      </c>
      <c r="DU93">
        <v>1847</v>
      </c>
      <c r="DV93">
        <v>3189</v>
      </c>
      <c r="DZ93">
        <v>0.18</v>
      </c>
    </row>
    <row r="94" spans="2:133" x14ac:dyDescent="0.25">
      <c r="B94" s="5"/>
      <c r="C94" s="5"/>
      <c r="D94" s="5"/>
      <c r="E94" s="5"/>
      <c r="F94" s="5"/>
      <c r="H94" s="5"/>
      <c r="I94" s="5"/>
      <c r="J94" s="5"/>
      <c r="K94" s="21"/>
      <c r="L94" s="5"/>
      <c r="P94" s="5"/>
      <c r="Q94" s="16"/>
      <c r="R94" s="11"/>
      <c r="S94" s="15"/>
      <c r="T94" s="5"/>
      <c r="X94" s="5"/>
      <c r="Y94" s="13"/>
      <c r="Z94" s="11"/>
      <c r="AA94" s="15"/>
      <c r="AB94" s="5"/>
      <c r="AF94" s="5"/>
      <c r="AG94" s="16"/>
      <c r="AH94" s="11"/>
      <c r="AI94" s="15"/>
      <c r="AJ94" s="5"/>
      <c r="AM94" s="5"/>
      <c r="AN94" s="5"/>
      <c r="AO94" s="5"/>
      <c r="AP94" s="5"/>
      <c r="AQ94" s="5"/>
      <c r="AT94" s="5"/>
      <c r="AU94" s="5"/>
      <c r="AV94" s="5"/>
      <c r="AW94" s="5"/>
      <c r="AX94" s="5"/>
      <c r="BA94" s="5"/>
      <c r="BB94" s="5"/>
      <c r="BC94" s="5"/>
      <c r="BD94" s="5"/>
      <c r="BE94" s="5"/>
      <c r="BH94" s="5"/>
      <c r="BI94" s="5"/>
      <c r="BJ94" s="16"/>
      <c r="BK94" s="15"/>
      <c r="BL94" s="5"/>
      <c r="BM94" s="5"/>
      <c r="BO94" s="5">
        <v>0.28000000000000003</v>
      </c>
      <c r="BP94" s="26">
        <f>BR40</f>
        <v>4868</v>
      </c>
      <c r="BQ94" s="16"/>
      <c r="BR94" s="15"/>
      <c r="BS94" s="5"/>
      <c r="BT94" s="5"/>
      <c r="BV94" s="5" t="s">
        <v>217</v>
      </c>
      <c r="BW94" s="16"/>
      <c r="BX94" s="11"/>
      <c r="BY94" s="15"/>
      <c r="CC94" t="s">
        <v>325</v>
      </c>
      <c r="CG94" s="10"/>
      <c r="CH94" s="10"/>
      <c r="CI94" s="10"/>
      <c r="CJ94" t="s">
        <v>143</v>
      </c>
      <c r="CK94">
        <v>2000</v>
      </c>
      <c r="CL94">
        <v>300</v>
      </c>
      <c r="CM94">
        <f t="shared" si="0"/>
        <v>600000</v>
      </c>
      <c r="CQ94">
        <v>0.24</v>
      </c>
      <c r="CR94">
        <f>CT59</f>
        <v>14583</v>
      </c>
      <c r="CU94" s="10"/>
      <c r="CV94" s="10"/>
      <c r="CW94" s="10"/>
      <c r="DD94">
        <v>53</v>
      </c>
      <c r="DE94" t="s">
        <v>122</v>
      </c>
      <c r="DF94">
        <v>1731</v>
      </c>
      <c r="DG94">
        <v>680</v>
      </c>
      <c r="DS94">
        <v>54</v>
      </c>
      <c r="DT94" t="s">
        <v>120</v>
      </c>
      <c r="DU94">
        <v>1744</v>
      </c>
      <c r="DV94">
        <v>104</v>
      </c>
      <c r="DZ94">
        <v>58</v>
      </c>
      <c r="EA94" t="s">
        <v>122</v>
      </c>
      <c r="EB94">
        <v>1731</v>
      </c>
      <c r="EC94">
        <v>680</v>
      </c>
    </row>
    <row r="95" spans="2:133" x14ac:dyDescent="0.25">
      <c r="B95" s="5">
        <v>0.2</v>
      </c>
      <c r="C95" s="5">
        <f>E82</f>
        <v>11905</v>
      </c>
      <c r="D95" s="5">
        <v>6</v>
      </c>
      <c r="E95" s="5"/>
      <c r="F95" s="5"/>
      <c r="H95" s="5">
        <v>61</v>
      </c>
      <c r="I95" s="5" t="s">
        <v>119</v>
      </c>
      <c r="J95" s="5">
        <v>1335</v>
      </c>
      <c r="K95" s="21">
        <v>108</v>
      </c>
      <c r="L95" s="5"/>
      <c r="P95" s="5">
        <v>59</v>
      </c>
      <c r="Q95" s="16" t="s">
        <v>124</v>
      </c>
      <c r="R95" s="11">
        <v>1517</v>
      </c>
      <c r="S95" s="15">
        <v>3210</v>
      </c>
      <c r="T95" s="5"/>
      <c r="X95" s="5">
        <v>58</v>
      </c>
      <c r="Y95" s="16" t="s">
        <v>124</v>
      </c>
      <c r="Z95" s="11">
        <v>1470</v>
      </c>
      <c r="AA95" s="15">
        <v>152</v>
      </c>
      <c r="AB95" s="5"/>
      <c r="AF95" s="5">
        <v>59</v>
      </c>
      <c r="AG95" s="16" t="s">
        <v>209</v>
      </c>
      <c r="AH95" s="11">
        <v>1422</v>
      </c>
      <c r="AI95" s="15">
        <v>88</v>
      </c>
      <c r="AJ95" s="5"/>
      <c r="AM95" s="5">
        <v>58</v>
      </c>
      <c r="AN95" s="5" t="s">
        <v>118</v>
      </c>
      <c r="AO95" s="5">
        <v>1422</v>
      </c>
      <c r="AP95" s="5">
        <v>88</v>
      </c>
      <c r="AQ95" s="5"/>
      <c r="AT95" s="5">
        <v>58</v>
      </c>
      <c r="AU95" s="5" t="s">
        <v>118</v>
      </c>
      <c r="AV95" s="5">
        <v>1504</v>
      </c>
      <c r="AW95" s="5">
        <v>84</v>
      </c>
      <c r="AX95" s="5"/>
      <c r="BA95" s="5">
        <v>69</v>
      </c>
      <c r="BB95" s="5" t="s">
        <v>123</v>
      </c>
      <c r="BC95" s="5">
        <v>1564</v>
      </c>
      <c r="BD95" s="5">
        <v>2662</v>
      </c>
      <c r="BE95" s="5"/>
      <c r="BH95" s="5" t="s">
        <v>216</v>
      </c>
      <c r="BI95" s="5"/>
      <c r="BJ95" s="16"/>
      <c r="BK95" s="15"/>
      <c r="BL95" s="5"/>
      <c r="BM95" s="5"/>
      <c r="BO95" s="5">
        <v>0.24</v>
      </c>
      <c r="BP95" s="26">
        <f>BR60</f>
        <v>16626</v>
      </c>
      <c r="BQ95" s="16"/>
      <c r="BR95" s="15"/>
      <c r="BS95" s="5"/>
      <c r="BT95" s="5"/>
      <c r="BV95" s="5" t="s">
        <v>136</v>
      </c>
      <c r="BW95" s="16" t="s">
        <v>137</v>
      </c>
      <c r="BX95" s="11" t="s">
        <v>138</v>
      </c>
      <c r="BY95" s="15" t="s">
        <v>139</v>
      </c>
      <c r="CC95">
        <v>0.28000000000000003</v>
      </c>
      <c r="CD95">
        <f>CF41</f>
        <v>8037</v>
      </c>
      <c r="CG95" s="10"/>
      <c r="CH95" s="10"/>
      <c r="CI95" s="10"/>
      <c r="CJ95" t="s">
        <v>144</v>
      </c>
      <c r="CK95">
        <v>1200</v>
      </c>
      <c r="CL95">
        <v>260</v>
      </c>
      <c r="CM95">
        <f t="shared" si="0"/>
        <v>312000</v>
      </c>
      <c r="CQ95">
        <v>0.22</v>
      </c>
      <c r="CR95">
        <f>CT63</f>
        <v>1526</v>
      </c>
      <c r="CU95" s="10"/>
      <c r="CV95" s="10"/>
      <c r="CW95" s="10"/>
      <c r="DD95">
        <v>54</v>
      </c>
      <c r="DE95" t="s">
        <v>121</v>
      </c>
      <c r="DF95">
        <v>1755</v>
      </c>
      <c r="DG95">
        <v>1748</v>
      </c>
      <c r="DL95">
        <v>0.18</v>
      </c>
      <c r="DS95">
        <v>55</v>
      </c>
      <c r="DT95" t="s">
        <v>120</v>
      </c>
      <c r="DU95">
        <v>1891</v>
      </c>
      <c r="DV95">
        <v>2748</v>
      </c>
      <c r="DZ95">
        <v>59</v>
      </c>
      <c r="EA95" t="s">
        <v>119</v>
      </c>
      <c r="EB95">
        <v>1741</v>
      </c>
      <c r="EC95">
        <v>1032</v>
      </c>
    </row>
    <row r="96" spans="2:133" x14ac:dyDescent="0.25">
      <c r="B96" s="5">
        <v>0.22</v>
      </c>
      <c r="C96" s="5">
        <f>E71</f>
        <v>7251</v>
      </c>
      <c r="D96" s="5">
        <v>4</v>
      </c>
      <c r="E96" s="5"/>
      <c r="F96" s="5"/>
      <c r="H96" s="6"/>
      <c r="I96" s="6"/>
      <c r="J96" s="6"/>
      <c r="K96" s="35">
        <f>SUM(K93:K95)</f>
        <v>3438</v>
      </c>
      <c r="L96" s="6"/>
      <c r="P96" s="5">
        <v>60</v>
      </c>
      <c r="Q96" s="16" t="s">
        <v>123</v>
      </c>
      <c r="R96" s="11">
        <v>1419</v>
      </c>
      <c r="S96" s="15">
        <v>110</v>
      </c>
      <c r="T96" s="5"/>
      <c r="X96" s="5">
        <v>59</v>
      </c>
      <c r="Y96" s="16" t="s">
        <v>124</v>
      </c>
      <c r="Z96" s="11">
        <v>1517</v>
      </c>
      <c r="AA96" s="15">
        <v>2150</v>
      </c>
      <c r="AB96" s="5"/>
      <c r="AF96" s="5">
        <v>60</v>
      </c>
      <c r="AG96" s="16" t="s">
        <v>118</v>
      </c>
      <c r="AH96" s="11">
        <v>1504</v>
      </c>
      <c r="AI96" s="15">
        <v>85</v>
      </c>
      <c r="AJ96" s="5"/>
      <c r="AM96" s="5">
        <v>59</v>
      </c>
      <c r="AN96" s="5" t="s">
        <v>119</v>
      </c>
      <c r="AO96" s="5">
        <v>1545</v>
      </c>
      <c r="AP96" s="5">
        <v>312</v>
      </c>
      <c r="AQ96" s="5"/>
      <c r="AT96" s="5">
        <v>59</v>
      </c>
      <c r="AU96" s="5" t="s">
        <v>123</v>
      </c>
      <c r="AV96" s="5">
        <v>1564</v>
      </c>
      <c r="AW96" s="5">
        <v>2921</v>
      </c>
      <c r="AX96" s="5"/>
      <c r="BA96" s="5">
        <v>70</v>
      </c>
      <c r="BB96" s="5" t="s">
        <v>121</v>
      </c>
      <c r="BC96" s="5">
        <v>1560</v>
      </c>
      <c r="BD96" s="5">
        <v>1492</v>
      </c>
      <c r="BE96" s="5"/>
      <c r="BH96" s="5">
        <v>0.28000000000000003</v>
      </c>
      <c r="BI96" s="26">
        <f>BK41</f>
        <v>6552</v>
      </c>
      <c r="BJ96" s="16"/>
      <c r="BK96" s="15"/>
      <c r="BL96" s="5"/>
      <c r="BM96" s="5"/>
      <c r="BO96" s="5">
        <v>0.22</v>
      </c>
      <c r="BP96" s="26">
        <f>BR66</f>
        <v>4352</v>
      </c>
      <c r="BQ96" s="16"/>
      <c r="BR96" s="15"/>
      <c r="BS96" s="5"/>
      <c r="BT96" s="5"/>
      <c r="BV96" s="5" t="s">
        <v>140</v>
      </c>
      <c r="BW96" s="16">
        <v>6</v>
      </c>
      <c r="BX96" s="29">
        <v>40000</v>
      </c>
      <c r="BY96" s="30">
        <f>BW96*BX96</f>
        <v>240000</v>
      </c>
      <c r="CC96">
        <v>0.24</v>
      </c>
      <c r="CD96">
        <f>CF57</f>
        <v>23653</v>
      </c>
      <c r="CG96" s="10"/>
      <c r="CH96" s="10"/>
      <c r="CI96" s="10"/>
      <c r="CJ96" t="s">
        <v>329</v>
      </c>
      <c r="CK96">
        <v>0.5</v>
      </c>
      <c r="CL96">
        <v>35000</v>
      </c>
      <c r="CM96">
        <f t="shared" si="0"/>
        <v>17500</v>
      </c>
      <c r="CQ96">
        <v>0.2</v>
      </c>
      <c r="CR96">
        <f>CT75</f>
        <v>13936</v>
      </c>
      <c r="CU96" s="10"/>
      <c r="CV96" s="10"/>
      <c r="CW96" s="10"/>
      <c r="CX96" t="s">
        <v>323</v>
      </c>
      <c r="CY96" t="s">
        <v>116</v>
      </c>
      <c r="CZ96" t="s">
        <v>211</v>
      </c>
      <c r="DA96" t="s">
        <v>212</v>
      </c>
      <c r="DB96" t="s">
        <v>139</v>
      </c>
      <c r="DC96" t="s">
        <v>213</v>
      </c>
      <c r="DD96">
        <v>55</v>
      </c>
      <c r="DE96" t="s">
        <v>119</v>
      </c>
      <c r="DF96">
        <v>1741</v>
      </c>
      <c r="DG96">
        <v>3018</v>
      </c>
      <c r="DL96">
        <v>63</v>
      </c>
      <c r="DM96" t="s">
        <v>120</v>
      </c>
      <c r="DN96">
        <v>1819</v>
      </c>
      <c r="DO96">
        <v>2628</v>
      </c>
      <c r="DS96">
        <v>56</v>
      </c>
      <c r="DT96" t="s">
        <v>120</v>
      </c>
      <c r="DU96">
        <v>1883</v>
      </c>
      <c r="DV96">
        <v>2280</v>
      </c>
      <c r="DZ96">
        <v>60</v>
      </c>
      <c r="EA96" t="s">
        <v>120</v>
      </c>
      <c r="EB96">
        <v>1819</v>
      </c>
      <c r="EC96">
        <v>1862</v>
      </c>
    </row>
    <row r="97" spans="2:135" x14ac:dyDescent="0.25">
      <c r="B97" s="5"/>
      <c r="C97" s="5"/>
      <c r="D97" s="5"/>
      <c r="E97" s="5"/>
      <c r="F97" s="5"/>
      <c r="H97" s="6"/>
      <c r="I97" s="6"/>
      <c r="J97" s="6"/>
      <c r="K97" s="35"/>
      <c r="L97" s="6"/>
      <c r="P97" s="5"/>
      <c r="Q97" s="16"/>
      <c r="R97" s="11"/>
      <c r="S97" s="15"/>
      <c r="T97" s="5"/>
      <c r="X97" s="5"/>
      <c r="Y97" s="16"/>
      <c r="Z97" s="11"/>
      <c r="AA97" s="15"/>
      <c r="AB97" s="5"/>
      <c r="AF97" s="5"/>
      <c r="AG97" s="16"/>
      <c r="AH97" s="11"/>
      <c r="AI97" s="15"/>
      <c r="AJ97" s="5"/>
      <c r="AM97" s="5"/>
      <c r="AN97" s="5"/>
      <c r="AO97" s="5"/>
      <c r="AP97" s="5"/>
      <c r="AQ97" s="5"/>
      <c r="AT97" s="5"/>
      <c r="AU97" s="5"/>
      <c r="AV97" s="5"/>
      <c r="AW97" s="5"/>
      <c r="AX97" s="5"/>
      <c r="BA97" s="5"/>
      <c r="BB97" s="5"/>
      <c r="BC97" s="5"/>
      <c r="BD97" s="5"/>
      <c r="BE97" s="5"/>
      <c r="BH97" s="5">
        <v>0.24</v>
      </c>
      <c r="BI97" s="26">
        <f>BK64</f>
        <v>30197</v>
      </c>
      <c r="BJ97" s="16"/>
      <c r="BK97" s="15"/>
      <c r="BL97" s="5"/>
      <c r="BM97" s="5"/>
      <c r="BO97" s="5">
        <v>0.2</v>
      </c>
      <c r="BP97" s="26">
        <f>BR78</f>
        <v>10941</v>
      </c>
      <c r="BQ97" s="16"/>
      <c r="BR97" s="15"/>
      <c r="BS97" s="5"/>
      <c r="BT97" s="5"/>
      <c r="BV97" s="5" t="s">
        <v>141</v>
      </c>
      <c r="BW97" s="16">
        <v>12</v>
      </c>
      <c r="BX97" s="29">
        <v>4000</v>
      </c>
      <c r="BY97" s="30">
        <f t="shared" ref="BY97:BY100" si="1">BW97*BX97</f>
        <v>48000</v>
      </c>
      <c r="CC97">
        <v>0.22</v>
      </c>
      <c r="CD97">
        <f>CF64</f>
        <v>9689</v>
      </c>
      <c r="CG97" s="10"/>
      <c r="CH97" s="10"/>
      <c r="CI97" s="10"/>
      <c r="CM97" s="10">
        <f>SUM(CM92:CM96)</f>
        <v>1091500</v>
      </c>
      <c r="CQ97">
        <v>0.18</v>
      </c>
      <c r="CR97">
        <f>CT82</f>
        <v>10363</v>
      </c>
      <c r="CU97" s="10"/>
      <c r="CV97" s="10"/>
      <c r="CW97" s="10"/>
      <c r="CX97" t="s">
        <v>324</v>
      </c>
      <c r="DG97">
        <f>SUM(DG93:DG96)</f>
        <v>8611</v>
      </c>
      <c r="DL97">
        <v>64</v>
      </c>
      <c r="DM97" t="s">
        <v>121</v>
      </c>
      <c r="DN97">
        <v>1755</v>
      </c>
      <c r="DO97">
        <v>1748</v>
      </c>
      <c r="DS97">
        <v>57</v>
      </c>
      <c r="DT97" t="s">
        <v>118</v>
      </c>
      <c r="DU97">
        <v>1884</v>
      </c>
      <c r="DV97">
        <v>3371</v>
      </c>
      <c r="DZ97">
        <v>61</v>
      </c>
      <c r="EA97" t="s">
        <v>253</v>
      </c>
      <c r="EB97">
        <v>1755</v>
      </c>
      <c r="EC97">
        <v>2033</v>
      </c>
    </row>
    <row r="98" spans="2:135" x14ac:dyDescent="0.25">
      <c r="B98" s="5">
        <v>0.24</v>
      </c>
      <c r="C98" s="5">
        <f>E61</f>
        <v>6240</v>
      </c>
      <c r="D98" s="5">
        <v>12</v>
      </c>
      <c r="E98" s="5"/>
      <c r="F98" s="5"/>
      <c r="H98" s="6">
        <v>0.2</v>
      </c>
      <c r="I98" s="5"/>
      <c r="J98" s="5"/>
      <c r="K98" s="21"/>
      <c r="L98" s="5"/>
      <c r="P98" s="5">
        <v>61</v>
      </c>
      <c r="Q98" s="16" t="s">
        <v>122</v>
      </c>
      <c r="R98" s="11">
        <v>1349</v>
      </c>
      <c r="S98" s="15">
        <v>1283</v>
      </c>
      <c r="T98" s="5"/>
      <c r="X98" s="5">
        <v>60</v>
      </c>
      <c r="Y98" s="16" t="s">
        <v>123</v>
      </c>
      <c r="Z98" s="11">
        <v>1419</v>
      </c>
      <c r="AA98" s="15">
        <v>100</v>
      </c>
      <c r="AB98" s="5"/>
      <c r="AF98" s="5"/>
      <c r="AG98" s="16"/>
      <c r="AH98" s="11"/>
      <c r="AI98" s="14">
        <f>SUM(AI88:AI96)</f>
        <v>5719</v>
      </c>
      <c r="AJ98" s="5"/>
      <c r="AM98" s="5">
        <v>60</v>
      </c>
      <c r="AN98" s="5" t="s">
        <v>119</v>
      </c>
      <c r="AO98" s="5">
        <v>1347</v>
      </c>
      <c r="AP98" s="5">
        <v>88</v>
      </c>
      <c r="AQ98" s="5"/>
      <c r="AT98" s="5">
        <v>60</v>
      </c>
      <c r="AU98" s="5" t="s">
        <v>121</v>
      </c>
      <c r="AV98" s="5">
        <v>1560</v>
      </c>
      <c r="AW98" s="5">
        <v>1539</v>
      </c>
      <c r="AX98" s="5"/>
      <c r="BA98" s="5">
        <v>71</v>
      </c>
      <c r="BB98" s="5" t="s">
        <v>124</v>
      </c>
      <c r="BC98" s="5">
        <v>1517</v>
      </c>
      <c r="BD98" s="5">
        <v>542</v>
      </c>
      <c r="BE98" s="5"/>
      <c r="BH98" s="5">
        <v>0.22</v>
      </c>
      <c r="BI98" s="26">
        <f>BK69</f>
        <v>5871</v>
      </c>
      <c r="BJ98" s="16"/>
      <c r="BK98" s="15"/>
      <c r="BL98" s="5"/>
      <c r="BM98" s="5"/>
      <c r="BO98" s="5">
        <v>0.18</v>
      </c>
      <c r="BP98" s="26">
        <f>BR82</f>
        <v>3604</v>
      </c>
      <c r="BQ98" s="16"/>
      <c r="BR98" s="15"/>
      <c r="BS98" s="5"/>
      <c r="BT98" s="5"/>
      <c r="BV98" s="5" t="s">
        <v>144</v>
      </c>
      <c r="BW98" s="16">
        <v>60</v>
      </c>
      <c r="BX98" s="29">
        <v>260</v>
      </c>
      <c r="BY98" s="30">
        <f t="shared" si="1"/>
        <v>15600</v>
      </c>
      <c r="CC98">
        <v>0.2</v>
      </c>
      <c r="CD98">
        <f>CF77</f>
        <v>13165</v>
      </c>
      <c r="CG98" s="10"/>
      <c r="CH98" s="10"/>
      <c r="CI98" s="10"/>
      <c r="CO98" s="9">
        <f>SUM(CO78,CO86,CM97)</f>
        <v>105456800</v>
      </c>
      <c r="CP98" s="9"/>
      <c r="CR98">
        <f>SUM(CR93:CR97)</f>
        <v>47794</v>
      </c>
      <c r="CS98">
        <v>41</v>
      </c>
      <c r="CT98">
        <f>CR98-(CS98*60)</f>
        <v>45334</v>
      </c>
      <c r="CU98" s="10">
        <v>2090</v>
      </c>
      <c r="CV98" s="10">
        <f>CT98*CU98</f>
        <v>94748060</v>
      </c>
      <c r="CW98" s="10"/>
      <c r="CX98">
        <v>0.45</v>
      </c>
      <c r="CY98">
        <f>DA7</f>
        <v>1126</v>
      </c>
      <c r="DL98">
        <v>65</v>
      </c>
      <c r="DM98" t="s">
        <v>119</v>
      </c>
      <c r="DN98">
        <v>1741</v>
      </c>
      <c r="DO98">
        <v>2171</v>
      </c>
      <c r="DS98">
        <v>58</v>
      </c>
      <c r="DT98" t="s">
        <v>118</v>
      </c>
      <c r="DU98">
        <v>1850</v>
      </c>
      <c r="DV98">
        <v>554</v>
      </c>
      <c r="EC98">
        <v>5607</v>
      </c>
    </row>
    <row r="99" spans="2:135" x14ac:dyDescent="0.25">
      <c r="B99" s="5">
        <v>0.28000000000000003</v>
      </c>
      <c r="C99" s="5">
        <f>E44</f>
        <v>3321</v>
      </c>
      <c r="D99" s="5">
        <v>2</v>
      </c>
      <c r="E99" s="5"/>
      <c r="F99" s="5"/>
      <c r="H99" s="5">
        <v>62</v>
      </c>
      <c r="I99" s="5" t="s">
        <v>119</v>
      </c>
      <c r="J99" s="5">
        <v>1448</v>
      </c>
      <c r="K99" s="21">
        <v>2244</v>
      </c>
      <c r="L99" s="5"/>
      <c r="P99" s="5">
        <v>62</v>
      </c>
      <c r="Q99" s="16" t="s">
        <v>120</v>
      </c>
      <c r="R99" s="11">
        <v>1467</v>
      </c>
      <c r="S99" s="15">
        <v>951</v>
      </c>
      <c r="T99" s="5"/>
      <c r="X99" s="5">
        <v>61</v>
      </c>
      <c r="Y99" s="16" t="s">
        <v>122</v>
      </c>
      <c r="Z99" s="11">
        <v>1349</v>
      </c>
      <c r="AA99" s="15">
        <v>1232</v>
      </c>
      <c r="AB99" s="5"/>
      <c r="AF99" s="5"/>
      <c r="AG99" s="13">
        <v>0.18</v>
      </c>
      <c r="AH99" s="11"/>
      <c r="AI99" s="15"/>
      <c r="AJ99" s="5"/>
      <c r="AM99" s="5">
        <v>61</v>
      </c>
      <c r="AN99" s="5" t="s">
        <v>122</v>
      </c>
      <c r="AO99" s="5">
        <v>1544</v>
      </c>
      <c r="AP99" s="5">
        <v>2824</v>
      </c>
      <c r="AQ99" s="5"/>
      <c r="AT99" s="5">
        <v>61</v>
      </c>
      <c r="AU99" s="5" t="s">
        <v>124</v>
      </c>
      <c r="AV99" s="5">
        <v>1517</v>
      </c>
      <c r="AW99" s="5">
        <v>1587</v>
      </c>
      <c r="AX99" s="5"/>
      <c r="BA99" s="5">
        <v>72</v>
      </c>
      <c r="BB99" s="5" t="s">
        <v>120</v>
      </c>
      <c r="BC99" s="5">
        <v>1574</v>
      </c>
      <c r="BD99" s="5">
        <v>1195</v>
      </c>
      <c r="BE99" s="5"/>
      <c r="BH99" s="5">
        <v>0.2</v>
      </c>
      <c r="BI99" s="26">
        <f>BK81</f>
        <v>19896</v>
      </c>
      <c r="BJ99" s="16"/>
      <c r="BK99" s="15"/>
      <c r="BL99" s="5"/>
      <c r="BM99" s="5"/>
      <c r="BO99" s="6"/>
      <c r="BP99" s="28">
        <f>SUM(BP94:BP98)</f>
        <v>40391</v>
      </c>
      <c r="BQ99" s="13">
        <v>39</v>
      </c>
      <c r="BR99" s="14">
        <f>BP99-(BQ99*60)</f>
        <v>38051</v>
      </c>
      <c r="BS99" s="6">
        <v>2250</v>
      </c>
      <c r="BT99" s="25">
        <f>BS99*BR99</f>
        <v>85614750</v>
      </c>
      <c r="BV99" s="5" t="s">
        <v>142</v>
      </c>
      <c r="BW99" s="16">
        <v>22</v>
      </c>
      <c r="BX99" s="29">
        <v>2000</v>
      </c>
      <c r="BY99" s="30">
        <f t="shared" si="1"/>
        <v>44000</v>
      </c>
      <c r="CC99">
        <v>0.18</v>
      </c>
      <c r="CD99">
        <f>CF81</f>
        <v>1587</v>
      </c>
      <c r="CG99" s="10"/>
      <c r="CH99" s="10"/>
      <c r="CI99" s="10"/>
      <c r="CW99" s="10"/>
      <c r="CX99">
        <v>0.55000000000000004</v>
      </c>
      <c r="CY99">
        <f>DA11</f>
        <v>30</v>
      </c>
      <c r="DE99" t="s">
        <v>323</v>
      </c>
      <c r="DF99" t="s">
        <v>116</v>
      </c>
      <c r="DG99" t="s">
        <v>211</v>
      </c>
      <c r="DH99" t="s">
        <v>212</v>
      </c>
      <c r="DI99" t="s">
        <v>139</v>
      </c>
      <c r="DJ99" t="s">
        <v>213</v>
      </c>
      <c r="DL99">
        <v>66</v>
      </c>
      <c r="DM99" t="s">
        <v>122</v>
      </c>
      <c r="DN99">
        <v>1731</v>
      </c>
      <c r="DO99">
        <v>680</v>
      </c>
      <c r="DS99">
        <v>59</v>
      </c>
      <c r="DT99" t="s">
        <v>118</v>
      </c>
      <c r="DU99">
        <v>1875</v>
      </c>
      <c r="DV99">
        <v>2555</v>
      </c>
    </row>
    <row r="100" spans="2:135" x14ac:dyDescent="0.25">
      <c r="B100" s="5"/>
      <c r="C100" s="5"/>
      <c r="D100" s="5"/>
      <c r="E100" s="5"/>
      <c r="F100" s="5"/>
      <c r="H100" s="5"/>
      <c r="I100" s="5"/>
      <c r="J100" s="5"/>
      <c r="K100" s="21"/>
      <c r="L100" s="5"/>
      <c r="P100" s="5"/>
      <c r="Q100" s="16"/>
      <c r="R100" s="11"/>
      <c r="S100" s="15"/>
      <c r="T100" s="5"/>
      <c r="X100" s="5"/>
      <c r="Y100" s="16"/>
      <c r="Z100" s="11"/>
      <c r="AA100" s="15"/>
      <c r="AB100" s="5"/>
      <c r="AF100" s="5"/>
      <c r="AG100" s="13"/>
      <c r="AH100" s="11"/>
      <c r="AI100" s="15"/>
      <c r="AJ100" s="5"/>
      <c r="AM100" s="5"/>
      <c r="AN100" s="5"/>
      <c r="AO100" s="5"/>
      <c r="AP100" s="5"/>
      <c r="AQ100" s="5"/>
      <c r="AT100" s="5"/>
      <c r="AU100" s="5"/>
      <c r="AV100" s="5"/>
      <c r="AW100" s="5"/>
      <c r="AX100" s="5"/>
      <c r="BA100" s="5"/>
      <c r="BB100" s="5"/>
      <c r="BC100" s="5"/>
      <c r="BD100" s="5"/>
      <c r="BE100" s="5"/>
      <c r="BH100" s="5">
        <v>0.18</v>
      </c>
      <c r="BI100" s="26">
        <f>BK83</f>
        <v>122</v>
      </c>
      <c r="BJ100" s="16"/>
      <c r="BK100" s="15"/>
      <c r="BL100" s="5"/>
      <c r="BM100" s="5"/>
      <c r="BO100" s="6"/>
      <c r="BP100" s="28"/>
      <c r="BQ100" s="13"/>
      <c r="BR100" s="14"/>
      <c r="BS100" s="6"/>
      <c r="BT100" s="25"/>
      <c r="BV100" s="5" t="s">
        <v>143</v>
      </c>
      <c r="BW100" s="16">
        <v>500</v>
      </c>
      <c r="BX100" s="29">
        <v>300</v>
      </c>
      <c r="BY100" s="30">
        <f t="shared" si="1"/>
        <v>150000</v>
      </c>
      <c r="CD100">
        <f>SUM(CD95:CD99)</f>
        <v>56131</v>
      </c>
      <c r="CE100">
        <v>42</v>
      </c>
      <c r="CF100">
        <f>CD100-(CE100*60)</f>
        <v>53611</v>
      </c>
      <c r="CG100" s="10">
        <v>2150</v>
      </c>
      <c r="CH100" s="10">
        <f>CF100*CG100</f>
        <v>115263650</v>
      </c>
      <c r="CI100" s="10"/>
      <c r="CX100" t="s">
        <v>215</v>
      </c>
      <c r="CY100">
        <f>DA19</f>
        <v>10504</v>
      </c>
      <c r="DE100" t="s">
        <v>324</v>
      </c>
      <c r="DO100">
        <f>SUM(DO96:DO99)</f>
        <v>7227</v>
      </c>
      <c r="DS100">
        <v>60</v>
      </c>
      <c r="DT100" t="s">
        <v>124</v>
      </c>
      <c r="DU100">
        <v>1834</v>
      </c>
      <c r="DV100">
        <v>1994</v>
      </c>
      <c r="DZ100" t="s">
        <v>323</v>
      </c>
      <c r="EA100" t="s">
        <v>116</v>
      </c>
      <c r="EB100" t="s">
        <v>211</v>
      </c>
      <c r="EC100" t="s">
        <v>212</v>
      </c>
      <c r="ED100" t="s">
        <v>139</v>
      </c>
      <c r="EE100" s="10" t="s">
        <v>213</v>
      </c>
    </row>
    <row r="101" spans="2:135" x14ac:dyDescent="0.25">
      <c r="B101" s="5"/>
      <c r="C101" s="5">
        <f>SUM(C95:C99)</f>
        <v>28717</v>
      </c>
      <c r="D101" s="5">
        <f>SUM(D95:D99)</f>
        <v>24</v>
      </c>
      <c r="E101" s="5">
        <f>D101*60</f>
        <v>1440</v>
      </c>
      <c r="F101" s="5"/>
      <c r="H101" s="5">
        <v>63</v>
      </c>
      <c r="I101" s="5" t="s">
        <v>119</v>
      </c>
      <c r="J101" s="5">
        <v>1449</v>
      </c>
      <c r="K101" s="21">
        <v>1451</v>
      </c>
      <c r="L101" s="5"/>
      <c r="P101" s="5">
        <v>63</v>
      </c>
      <c r="Q101" s="16" t="s">
        <v>120</v>
      </c>
      <c r="R101" s="11">
        <v>1464</v>
      </c>
      <c r="S101" s="15">
        <v>74</v>
      </c>
      <c r="T101" s="5"/>
      <c r="X101" s="5">
        <v>62</v>
      </c>
      <c r="Y101" s="16" t="s">
        <v>120</v>
      </c>
      <c r="Z101" s="11">
        <v>1467</v>
      </c>
      <c r="AA101" s="15">
        <v>159</v>
      </c>
      <c r="AB101" s="5"/>
      <c r="AF101" s="5">
        <v>61</v>
      </c>
      <c r="AG101" s="16" t="s">
        <v>210</v>
      </c>
      <c r="AH101" s="11">
        <v>1520</v>
      </c>
      <c r="AI101" s="15">
        <v>1167</v>
      </c>
      <c r="AJ101" s="5"/>
      <c r="AM101" s="5">
        <v>62</v>
      </c>
      <c r="AN101" s="5" t="s">
        <v>122</v>
      </c>
      <c r="AO101" s="5">
        <v>1349</v>
      </c>
      <c r="AP101" s="5">
        <v>169</v>
      </c>
      <c r="AQ101" s="5"/>
      <c r="AT101" s="5">
        <v>62</v>
      </c>
      <c r="AU101" s="5" t="s">
        <v>120</v>
      </c>
      <c r="AV101" s="5">
        <v>1574</v>
      </c>
      <c r="AW101" s="5">
        <v>2265</v>
      </c>
      <c r="AX101" s="5"/>
      <c r="BA101" s="5">
        <v>73</v>
      </c>
      <c r="BB101" s="5" t="s">
        <v>122</v>
      </c>
      <c r="BC101" s="5">
        <v>1562</v>
      </c>
      <c r="BD101" s="5">
        <v>885</v>
      </c>
      <c r="BE101" s="5"/>
      <c r="BH101" s="6"/>
      <c r="BI101" s="28">
        <f>SUM(BI96:BI100)</f>
        <v>62638</v>
      </c>
      <c r="BJ101" s="13">
        <v>40</v>
      </c>
      <c r="BK101" s="14">
        <f>BI101-(BJ101*60)</f>
        <v>60238</v>
      </c>
      <c r="BL101" s="6">
        <v>2250</v>
      </c>
      <c r="BM101" s="25">
        <f>BL101*BK101</f>
        <v>135535500</v>
      </c>
      <c r="BO101" s="6"/>
      <c r="BP101" s="28"/>
      <c r="BQ101" s="13"/>
      <c r="BR101" s="14"/>
      <c r="BS101" s="6"/>
      <c r="BT101" s="25">
        <f>SUM(BT91,BT99)</f>
        <v>122081950</v>
      </c>
      <c r="BV101" s="6"/>
      <c r="BW101" s="13"/>
      <c r="BX101" s="12"/>
      <c r="BY101" s="14">
        <f>SUM(BY96:BY100)</f>
        <v>497600</v>
      </c>
      <c r="BZ101" s="2"/>
      <c r="CA101" s="2"/>
      <c r="CX101">
        <v>0.7</v>
      </c>
      <c r="CY101">
        <f>DA30+DA23</f>
        <v>1331</v>
      </c>
      <c r="DB101" s="10"/>
      <c r="DC101" s="10"/>
      <c r="DE101">
        <v>0.45</v>
      </c>
      <c r="DF101">
        <f>DG7</f>
        <v>1040</v>
      </c>
      <c r="DS101">
        <v>61</v>
      </c>
      <c r="DT101" t="s">
        <v>253</v>
      </c>
      <c r="DU101">
        <v>1747</v>
      </c>
      <c r="DV101">
        <v>1325</v>
      </c>
      <c r="DZ101" t="s">
        <v>324</v>
      </c>
      <c r="EE101" s="10"/>
    </row>
    <row r="102" spans="2:135" x14ac:dyDescent="0.25">
      <c r="B102" s="5"/>
      <c r="C102" s="5">
        <f>C101-E101</f>
        <v>27277</v>
      </c>
      <c r="D102" s="7">
        <v>1150</v>
      </c>
      <c r="E102" s="7"/>
      <c r="F102" s="7">
        <f>C102*D102</f>
        <v>31368550</v>
      </c>
      <c r="G102" s="34"/>
      <c r="H102" s="5">
        <v>64</v>
      </c>
      <c r="I102" s="5" t="s">
        <v>119</v>
      </c>
      <c r="J102" s="5">
        <v>1427</v>
      </c>
      <c r="K102" s="21">
        <v>441</v>
      </c>
      <c r="L102" s="5"/>
      <c r="P102" s="5">
        <v>64</v>
      </c>
      <c r="Q102" s="16" t="s">
        <v>123</v>
      </c>
      <c r="R102" s="11">
        <v>1518</v>
      </c>
      <c r="S102" s="15">
        <v>3218</v>
      </c>
      <c r="T102" s="5"/>
      <c r="X102" s="5">
        <v>63</v>
      </c>
      <c r="Y102" s="16" t="s">
        <v>120</v>
      </c>
      <c r="Z102" s="11">
        <v>1464</v>
      </c>
      <c r="AA102" s="15">
        <v>74</v>
      </c>
      <c r="AB102" s="5"/>
      <c r="AF102" s="5"/>
      <c r="AG102" s="17"/>
      <c r="AH102" s="18"/>
      <c r="AI102" s="19"/>
      <c r="AJ102" s="5"/>
      <c r="AM102" s="5">
        <v>63</v>
      </c>
      <c r="AN102" s="5" t="s">
        <v>122</v>
      </c>
      <c r="AO102" s="5">
        <v>1518</v>
      </c>
      <c r="AP102" s="5">
        <v>648</v>
      </c>
      <c r="AQ102" s="5"/>
      <c r="AT102" s="5">
        <v>63</v>
      </c>
      <c r="AU102" s="5" t="s">
        <v>122</v>
      </c>
      <c r="AV102" s="5">
        <v>1562</v>
      </c>
      <c r="AW102" s="5">
        <v>885</v>
      </c>
      <c r="AX102" s="5"/>
      <c r="BA102" s="5">
        <v>74</v>
      </c>
      <c r="BB102" s="5" t="s">
        <v>122</v>
      </c>
      <c r="BC102" s="5">
        <v>1349</v>
      </c>
      <c r="BD102" s="5">
        <v>81</v>
      </c>
      <c r="BE102" s="5"/>
      <c r="BH102" s="6"/>
      <c r="BI102" s="28"/>
      <c r="BJ102" s="13"/>
      <c r="BK102" s="14"/>
      <c r="BL102" s="6"/>
      <c r="BM102" s="25"/>
      <c r="BV102" s="2"/>
      <c r="BW102" s="31"/>
      <c r="BX102" s="4"/>
      <c r="BY102" s="32"/>
      <c r="BZ102" s="2" t="s">
        <v>218</v>
      </c>
      <c r="CA102" s="33">
        <f>CA92+BY101</f>
        <v>86993000</v>
      </c>
      <c r="CQ102" t="s">
        <v>217</v>
      </c>
      <c r="CY102">
        <f>SUM(CY98:CY101)</f>
        <v>12991</v>
      </c>
      <c r="CZ102">
        <v>13</v>
      </c>
      <c r="DA102">
        <f>CY102-(CZ102*35)</f>
        <v>12536</v>
      </c>
      <c r="DB102" s="10">
        <v>6400</v>
      </c>
      <c r="DC102" s="10">
        <f>DA102*DB102</f>
        <v>80230400</v>
      </c>
      <c r="DE102">
        <v>0.55000000000000004</v>
      </c>
      <c r="DF102">
        <f>DG24</f>
        <v>30</v>
      </c>
      <c r="DL102" t="s">
        <v>323</v>
      </c>
      <c r="DM102" t="s">
        <v>116</v>
      </c>
      <c r="DN102" t="s">
        <v>211</v>
      </c>
      <c r="DO102" t="s">
        <v>212</v>
      </c>
      <c r="DP102" t="s">
        <v>139</v>
      </c>
      <c r="DQ102" t="s">
        <v>213</v>
      </c>
      <c r="DS102">
        <v>62</v>
      </c>
      <c r="DT102" t="s">
        <v>123</v>
      </c>
      <c r="DU102">
        <v>1892</v>
      </c>
      <c r="DV102">
        <v>3246</v>
      </c>
      <c r="DZ102">
        <v>0.45</v>
      </c>
      <c r="EA102">
        <f>EC30</f>
        <v>836</v>
      </c>
      <c r="EE102" s="10"/>
    </row>
    <row r="103" spans="2:135" x14ac:dyDescent="0.25">
      <c r="B103" s="5"/>
      <c r="C103" s="5"/>
      <c r="D103" s="5"/>
      <c r="E103" s="5"/>
      <c r="F103" s="5"/>
      <c r="H103" s="5">
        <v>65</v>
      </c>
      <c r="I103" s="5" t="s">
        <v>119</v>
      </c>
      <c r="J103" s="5">
        <v>1347</v>
      </c>
      <c r="K103" s="21">
        <v>104</v>
      </c>
      <c r="L103" s="5"/>
      <c r="P103" s="5">
        <v>65</v>
      </c>
      <c r="Q103" s="16" t="s">
        <v>208</v>
      </c>
      <c r="R103" s="11">
        <v>1519</v>
      </c>
      <c r="S103" s="15">
        <v>3220</v>
      </c>
      <c r="T103" s="5"/>
      <c r="X103" s="5">
        <v>64</v>
      </c>
      <c r="Y103" s="16" t="s">
        <v>123</v>
      </c>
      <c r="Z103" s="11">
        <v>1518</v>
      </c>
      <c r="AA103" s="15">
        <v>1495</v>
      </c>
      <c r="AB103" s="5"/>
      <c r="AF103" s="5"/>
      <c r="AG103" s="16"/>
      <c r="AH103" s="11"/>
      <c r="AI103" s="14">
        <f>SUM(AI101:AI102)</f>
        <v>1167</v>
      </c>
      <c r="AJ103" s="5"/>
      <c r="AM103" s="5">
        <v>64</v>
      </c>
      <c r="AN103" s="5" t="s">
        <v>129</v>
      </c>
      <c r="AO103" s="5">
        <v>1545</v>
      </c>
      <c r="AP103" s="5">
        <v>1407</v>
      </c>
      <c r="AQ103" s="5"/>
      <c r="AT103" s="5">
        <v>64</v>
      </c>
      <c r="AU103" s="5" t="s">
        <v>122</v>
      </c>
      <c r="AV103" s="5">
        <v>1349</v>
      </c>
      <c r="AW103" s="5">
        <v>125</v>
      </c>
      <c r="AX103" s="5"/>
      <c r="BA103" s="5"/>
      <c r="BB103" s="5"/>
      <c r="BC103" s="5"/>
      <c r="BD103" s="6">
        <f>SUM(BD90:BD102)</f>
        <v>12411</v>
      </c>
      <c r="BE103" s="5"/>
      <c r="BH103" s="6"/>
      <c r="BI103" s="28"/>
      <c r="BJ103" s="13"/>
      <c r="BK103" s="14"/>
      <c r="BL103" s="6"/>
      <c r="BM103" s="25">
        <f>SUM(BM93,BM101)</f>
        <v>177250700</v>
      </c>
      <c r="BP103" s="17"/>
      <c r="BQ103" s="18"/>
      <c r="BR103" s="19"/>
      <c r="CH103" s="9">
        <f>SUM(CH92:CH100)</f>
        <v>134491100</v>
      </c>
      <c r="CQ103" t="s">
        <v>136</v>
      </c>
      <c r="CR103" t="s">
        <v>137</v>
      </c>
      <c r="CS103" t="s">
        <v>327</v>
      </c>
      <c r="CT103" t="s">
        <v>139</v>
      </c>
      <c r="DB103" s="10"/>
      <c r="DC103" s="10"/>
      <c r="DE103" t="s">
        <v>215</v>
      </c>
      <c r="DF103">
        <f>DG20</f>
        <v>6573</v>
      </c>
      <c r="DL103" t="s">
        <v>324</v>
      </c>
      <c r="DS103">
        <v>63</v>
      </c>
      <c r="DT103" t="s">
        <v>123</v>
      </c>
      <c r="DU103">
        <v>1816</v>
      </c>
      <c r="DV103">
        <v>1619</v>
      </c>
      <c r="DZ103">
        <v>0.55000000000000004</v>
      </c>
      <c r="EA103">
        <f>EC26</f>
        <v>30</v>
      </c>
      <c r="EE103" s="10"/>
    </row>
    <row r="104" spans="2:135" x14ac:dyDescent="0.25">
      <c r="B104" s="5"/>
      <c r="C104" s="5"/>
      <c r="D104" s="5"/>
      <c r="E104" s="5"/>
      <c r="F104" s="8">
        <f>F92+F102</f>
        <v>85299850</v>
      </c>
      <c r="G104" s="9"/>
      <c r="H104" s="5">
        <v>66</v>
      </c>
      <c r="I104" s="5" t="s">
        <v>119</v>
      </c>
      <c r="J104" s="5">
        <v>1345</v>
      </c>
      <c r="K104" s="21">
        <v>94</v>
      </c>
      <c r="L104" s="5"/>
      <c r="P104" s="5">
        <v>66</v>
      </c>
      <c r="Q104" s="16" t="s">
        <v>119</v>
      </c>
      <c r="R104" s="11">
        <v>1505</v>
      </c>
      <c r="S104" s="15">
        <v>2383</v>
      </c>
      <c r="T104" s="5"/>
      <c r="X104" s="5">
        <v>65</v>
      </c>
      <c r="Y104" s="16" t="s">
        <v>208</v>
      </c>
      <c r="Z104" s="11">
        <v>1519</v>
      </c>
      <c r="AA104" s="15">
        <v>1974</v>
      </c>
      <c r="AB104" s="5"/>
      <c r="AG104" s="17"/>
      <c r="AH104" s="18"/>
      <c r="AI104" s="20"/>
      <c r="AM104" s="5">
        <v>65</v>
      </c>
      <c r="AN104" s="5" t="s">
        <v>121</v>
      </c>
      <c r="AO104" s="5">
        <v>1519</v>
      </c>
      <c r="AP104" s="5">
        <v>1240</v>
      </c>
      <c r="AQ104" s="5"/>
      <c r="AT104" s="5"/>
      <c r="AU104" s="5"/>
      <c r="AV104" s="5"/>
      <c r="AW104" s="6">
        <f>SUM(AW90:AW103)</f>
        <v>14614</v>
      </c>
      <c r="AX104" s="5"/>
      <c r="BA104" s="5">
        <v>0.18</v>
      </c>
      <c r="BB104" s="5"/>
      <c r="BC104" s="5"/>
      <c r="BD104" s="5"/>
      <c r="BE104" s="5"/>
      <c r="BO104" s="5" t="s">
        <v>217</v>
      </c>
      <c r="BP104" s="16"/>
      <c r="BQ104" s="11"/>
      <c r="BR104" s="15"/>
      <c r="CQ104" t="s">
        <v>328</v>
      </c>
      <c r="CR104">
        <v>11</v>
      </c>
      <c r="CS104">
        <v>40000</v>
      </c>
      <c r="CT104">
        <f>CR104*CS104</f>
        <v>440000</v>
      </c>
      <c r="CX104" t="s">
        <v>325</v>
      </c>
      <c r="DB104" s="10"/>
      <c r="DC104" s="10"/>
      <c r="DE104">
        <v>0.7</v>
      </c>
      <c r="DF104">
        <f>DG35+DG28</f>
        <v>1331</v>
      </c>
      <c r="DI104" s="10"/>
      <c r="DJ104" s="10"/>
      <c r="DK104" s="10"/>
      <c r="DL104">
        <v>0.45</v>
      </c>
      <c r="DM104">
        <f>DO7</f>
        <v>975</v>
      </c>
      <c r="DS104">
        <v>64</v>
      </c>
      <c r="DT104" t="s">
        <v>122</v>
      </c>
      <c r="DU104">
        <v>1846</v>
      </c>
      <c r="DV104">
        <v>3171</v>
      </c>
      <c r="DZ104" t="s">
        <v>215</v>
      </c>
      <c r="EA104">
        <f>EC22</f>
        <v>2742</v>
      </c>
      <c r="EE104" s="10"/>
    </row>
    <row r="105" spans="2:135" x14ac:dyDescent="0.25">
      <c r="H105" s="5">
        <v>67</v>
      </c>
      <c r="I105" s="5" t="s">
        <v>120</v>
      </c>
      <c r="J105" s="5">
        <v>1464</v>
      </c>
      <c r="K105" s="21">
        <v>1607</v>
      </c>
      <c r="L105" s="5"/>
      <c r="P105" s="5">
        <v>67</v>
      </c>
      <c r="Q105" s="16" t="s">
        <v>119</v>
      </c>
      <c r="R105" s="11">
        <v>1421</v>
      </c>
      <c r="S105" s="15">
        <v>123</v>
      </c>
      <c r="T105" s="5"/>
      <c r="X105" s="5">
        <v>66</v>
      </c>
      <c r="Y105" s="16" t="s">
        <v>119</v>
      </c>
      <c r="Z105" s="11">
        <v>1505</v>
      </c>
      <c r="AA105" s="15">
        <v>223</v>
      </c>
      <c r="AB105" s="5"/>
      <c r="AG105" s="17"/>
      <c r="AH105" s="18"/>
      <c r="AI105" s="20"/>
      <c r="AM105" s="5">
        <v>66</v>
      </c>
      <c r="AN105" s="5" t="s">
        <v>122</v>
      </c>
      <c r="AO105" s="5">
        <v>1543</v>
      </c>
      <c r="AP105" s="5">
        <v>544</v>
      </c>
      <c r="AQ105" s="5"/>
      <c r="AT105" s="5">
        <v>0.18</v>
      </c>
      <c r="AU105" s="5"/>
      <c r="AV105" s="5"/>
      <c r="AW105" s="5"/>
      <c r="AX105" s="5"/>
      <c r="BA105" s="5">
        <v>75</v>
      </c>
      <c r="BB105" s="5" t="s">
        <v>120</v>
      </c>
      <c r="BC105" s="5">
        <v>1548</v>
      </c>
      <c r="BD105" s="5">
        <v>450</v>
      </c>
      <c r="BE105" s="5"/>
      <c r="BI105" s="17"/>
      <c r="BJ105" s="18"/>
      <c r="BK105" s="19"/>
      <c r="BO105" s="5" t="s">
        <v>136</v>
      </c>
      <c r="BP105" s="16" t="s">
        <v>137</v>
      </c>
      <c r="BQ105" s="11" t="s">
        <v>138</v>
      </c>
      <c r="BR105" s="15" t="s">
        <v>139</v>
      </c>
      <c r="CQ105" t="s">
        <v>142</v>
      </c>
      <c r="CR105">
        <v>21</v>
      </c>
      <c r="CS105">
        <v>2000</v>
      </c>
      <c r="CT105">
        <f t="shared" ref="CT105:CT108" si="2">CR105*CS105</f>
        <v>42000</v>
      </c>
      <c r="CX105">
        <v>0.4</v>
      </c>
      <c r="CY105">
        <f>DA34</f>
        <v>1950</v>
      </c>
      <c r="DB105" s="10"/>
      <c r="DC105" s="10"/>
      <c r="DF105">
        <f>SUM(DF101:DF104)</f>
        <v>8974</v>
      </c>
      <c r="DG105">
        <v>14</v>
      </c>
      <c r="DH105">
        <f>DF105-(DG105*35)</f>
        <v>8484</v>
      </c>
      <c r="DI105" s="10">
        <v>6400</v>
      </c>
      <c r="DJ105" s="10">
        <f>DH105*DI105</f>
        <v>54297600</v>
      </c>
      <c r="DK105" s="10"/>
      <c r="DL105">
        <v>0.55000000000000004</v>
      </c>
      <c r="DM105">
        <f>DO11</f>
        <v>30</v>
      </c>
      <c r="DV105">
        <f>SUM(DV90:DV104)</f>
        <v>30009</v>
      </c>
      <c r="DZ105">
        <v>0.7</v>
      </c>
      <c r="EA105">
        <f>EC9</f>
        <v>1045</v>
      </c>
      <c r="ED105" s="10"/>
      <c r="EE105" s="10"/>
    </row>
    <row r="106" spans="2:135" x14ac:dyDescent="0.25">
      <c r="H106" s="5">
        <v>68</v>
      </c>
      <c r="I106" s="5" t="s">
        <v>120</v>
      </c>
      <c r="J106" s="5">
        <v>1426</v>
      </c>
      <c r="K106" s="21">
        <v>74</v>
      </c>
      <c r="L106" s="5"/>
      <c r="P106" s="5">
        <v>68</v>
      </c>
      <c r="Q106" s="16" t="s">
        <v>119</v>
      </c>
      <c r="R106" s="11">
        <v>1347</v>
      </c>
      <c r="S106" s="15">
        <v>104</v>
      </c>
      <c r="T106" s="5"/>
      <c r="X106" s="5">
        <v>67</v>
      </c>
      <c r="Y106" s="16" t="s">
        <v>119</v>
      </c>
      <c r="Z106" s="11">
        <v>1421</v>
      </c>
      <c r="AA106" s="15">
        <v>123</v>
      </c>
      <c r="AB106" s="5"/>
      <c r="AG106" s="17"/>
      <c r="AH106" s="18"/>
      <c r="AI106" s="19"/>
      <c r="AM106" s="5">
        <v>67</v>
      </c>
      <c r="AN106" s="5" t="s">
        <v>124</v>
      </c>
      <c r="AO106" s="5">
        <v>1517</v>
      </c>
      <c r="AP106" s="5">
        <v>1677</v>
      </c>
      <c r="AQ106" s="5"/>
      <c r="AT106" s="5">
        <v>65</v>
      </c>
      <c r="AU106" s="5" t="s">
        <v>120</v>
      </c>
      <c r="AV106" s="5">
        <v>1548</v>
      </c>
      <c r="AW106" s="5">
        <v>2452</v>
      </c>
      <c r="AX106" s="5"/>
      <c r="BH106" s="5" t="s">
        <v>217</v>
      </c>
      <c r="BI106" s="16"/>
      <c r="BJ106" s="11"/>
      <c r="BK106" s="15"/>
      <c r="BO106" s="5" t="s">
        <v>140</v>
      </c>
      <c r="BP106" s="16">
        <v>8</v>
      </c>
      <c r="BQ106" s="29">
        <v>40000</v>
      </c>
      <c r="BR106" s="30">
        <f>BP106*BQ106</f>
        <v>320000</v>
      </c>
      <c r="CQ106" t="s">
        <v>143</v>
      </c>
      <c r="CR106">
        <v>1200</v>
      </c>
      <c r="CS106">
        <v>300</v>
      </c>
      <c r="CT106">
        <f t="shared" si="2"/>
        <v>360000</v>
      </c>
      <c r="CX106">
        <v>0.28000000000000003</v>
      </c>
      <c r="CY106">
        <f>DA45</f>
        <v>6023</v>
      </c>
      <c r="DB106" s="10"/>
      <c r="DC106" s="10"/>
      <c r="DI106" s="10"/>
      <c r="DJ106" s="10"/>
      <c r="DK106" s="10"/>
      <c r="DL106" t="s">
        <v>215</v>
      </c>
      <c r="DM106">
        <f>DO19+DO23</f>
        <v>2071</v>
      </c>
      <c r="EA106">
        <f>SUM(EA102:EA105)</f>
        <v>4653</v>
      </c>
      <c r="EB106">
        <v>14</v>
      </c>
      <c r="EC106">
        <f>EA106-(EB106*35)</f>
        <v>4163</v>
      </c>
      <c r="ED106" s="10">
        <v>6400</v>
      </c>
      <c r="EE106" s="10">
        <f>EC106*ED106</f>
        <v>26643200</v>
      </c>
    </row>
    <row r="107" spans="2:135" x14ac:dyDescent="0.25">
      <c r="B107" s="5" t="s">
        <v>136</v>
      </c>
      <c r="C107" s="5" t="s">
        <v>137</v>
      </c>
      <c r="D107" s="5" t="s">
        <v>138</v>
      </c>
      <c r="E107" s="5" t="s">
        <v>139</v>
      </c>
      <c r="H107" s="5">
        <v>69</v>
      </c>
      <c r="I107" s="5" t="s">
        <v>118</v>
      </c>
      <c r="J107" s="5">
        <v>1422</v>
      </c>
      <c r="K107" s="21">
        <v>218</v>
      </c>
      <c r="L107" s="5"/>
      <c r="P107" s="5">
        <v>69</v>
      </c>
      <c r="Q107" s="16" t="s">
        <v>119</v>
      </c>
      <c r="R107" s="11">
        <v>1448</v>
      </c>
      <c r="S107" s="15">
        <v>60</v>
      </c>
      <c r="T107" s="5"/>
      <c r="X107" s="5">
        <v>68</v>
      </c>
      <c r="Y107" s="16" t="s">
        <v>119</v>
      </c>
      <c r="Z107" s="11">
        <v>1347</v>
      </c>
      <c r="AA107" s="15">
        <v>104</v>
      </c>
      <c r="AB107" s="5"/>
      <c r="AG107" s="17"/>
      <c r="AH107" s="18"/>
      <c r="AI107" s="19"/>
      <c r="AM107" s="5"/>
      <c r="AN107" s="5"/>
      <c r="AO107" s="5"/>
      <c r="AP107" s="6">
        <f>SUM(AP92:AP106)</f>
        <v>11270</v>
      </c>
      <c r="AQ107" s="5"/>
      <c r="AT107" s="5"/>
      <c r="AU107" s="5"/>
      <c r="AV107" s="5"/>
      <c r="AW107" s="5"/>
      <c r="AX107" s="5"/>
      <c r="BH107" s="5" t="s">
        <v>136</v>
      </c>
      <c r="BI107" s="16" t="s">
        <v>137</v>
      </c>
      <c r="BJ107" s="11" t="s">
        <v>138</v>
      </c>
      <c r="BK107" s="15" t="s">
        <v>139</v>
      </c>
      <c r="BO107" s="5" t="s">
        <v>141</v>
      </c>
      <c r="BP107" s="16">
        <v>3</v>
      </c>
      <c r="BQ107" s="29">
        <v>4000</v>
      </c>
      <c r="BR107" s="30">
        <f t="shared" ref="BR107:BR110" si="3">BP107*BQ107</f>
        <v>12000</v>
      </c>
      <c r="CQ107" t="s">
        <v>144</v>
      </c>
      <c r="CR107">
        <v>1500</v>
      </c>
      <c r="CS107">
        <v>260</v>
      </c>
      <c r="CT107">
        <f t="shared" si="2"/>
        <v>390000</v>
      </c>
      <c r="CX107">
        <v>0.24</v>
      </c>
      <c r="CY107">
        <f>DA66</f>
        <v>24986</v>
      </c>
      <c r="DB107" s="10"/>
      <c r="DC107" s="10"/>
      <c r="DE107" t="s">
        <v>325</v>
      </c>
      <c r="DI107" s="10"/>
      <c r="DJ107" s="10"/>
      <c r="DK107" s="10"/>
      <c r="DL107">
        <v>0.7</v>
      </c>
      <c r="DM107">
        <f>DO31</f>
        <v>1167</v>
      </c>
      <c r="DP107" s="10"/>
      <c r="DQ107" s="10"/>
      <c r="DS107">
        <v>0.18</v>
      </c>
      <c r="ED107" s="10"/>
      <c r="EE107" s="10"/>
    </row>
    <row r="108" spans="2:135" x14ac:dyDescent="0.25">
      <c r="B108" s="5" t="s">
        <v>140</v>
      </c>
      <c r="C108" s="5">
        <v>7</v>
      </c>
      <c r="D108" s="7">
        <v>22000</v>
      </c>
      <c r="E108" s="7">
        <f>C108*D108</f>
        <v>154000</v>
      </c>
      <c r="H108" s="5">
        <v>70</v>
      </c>
      <c r="I108" s="5" t="s">
        <v>121</v>
      </c>
      <c r="J108" s="5">
        <v>1472</v>
      </c>
      <c r="K108" s="21">
        <v>2277</v>
      </c>
      <c r="L108" s="5"/>
      <c r="P108" s="5">
        <v>70</v>
      </c>
      <c r="Q108" s="16" t="s">
        <v>118</v>
      </c>
      <c r="R108" s="11">
        <v>1504</v>
      </c>
      <c r="S108" s="15">
        <v>392</v>
      </c>
      <c r="T108" s="5"/>
      <c r="X108" s="5">
        <v>69</v>
      </c>
      <c r="Y108" s="16" t="s">
        <v>209</v>
      </c>
      <c r="Z108" s="11">
        <v>1422</v>
      </c>
      <c r="AA108" s="15">
        <v>88</v>
      </c>
      <c r="AB108" s="5"/>
      <c r="AF108" s="5" t="s">
        <v>130</v>
      </c>
      <c r="AG108" s="16" t="s">
        <v>116</v>
      </c>
      <c r="AH108" s="11" t="s">
        <v>211</v>
      </c>
      <c r="AI108" s="21" t="s">
        <v>212</v>
      </c>
      <c r="AJ108" s="5" t="s">
        <v>139</v>
      </c>
      <c r="AK108" s="5" t="s">
        <v>213</v>
      </c>
      <c r="AM108" s="5">
        <v>0.18</v>
      </c>
      <c r="AN108" s="5"/>
      <c r="AO108" s="5"/>
      <c r="AP108" s="5"/>
      <c r="AQ108" s="5"/>
      <c r="AT108" s="5" t="s">
        <v>254</v>
      </c>
      <c r="AU108" s="5"/>
      <c r="AV108" s="5"/>
      <c r="AW108" s="5"/>
      <c r="AX108" s="5"/>
      <c r="BH108" s="5" t="s">
        <v>140</v>
      </c>
      <c r="BI108" s="16">
        <v>5</v>
      </c>
      <c r="BJ108" s="29">
        <v>40000</v>
      </c>
      <c r="BK108" s="30">
        <f>BI108*BJ108</f>
        <v>200000</v>
      </c>
      <c r="BO108" s="5" t="s">
        <v>144</v>
      </c>
      <c r="BP108" s="16">
        <v>500</v>
      </c>
      <c r="BQ108" s="29">
        <v>260</v>
      </c>
      <c r="BR108" s="30">
        <f t="shared" si="3"/>
        <v>130000</v>
      </c>
      <c r="CQ108" t="s">
        <v>329</v>
      </c>
      <c r="CS108">
        <v>35000</v>
      </c>
      <c r="CT108">
        <f t="shared" si="2"/>
        <v>0</v>
      </c>
      <c r="CX108">
        <v>0.22</v>
      </c>
      <c r="CY108">
        <f>DA74</f>
        <v>4548</v>
      </c>
      <c r="DB108" s="10"/>
      <c r="DC108" s="10"/>
      <c r="DE108">
        <v>0.4</v>
      </c>
      <c r="DF108">
        <f>DG39</f>
        <v>1950</v>
      </c>
      <c r="DI108" s="10"/>
      <c r="DJ108" s="10"/>
      <c r="DK108" s="10"/>
      <c r="DM108">
        <f>SUM(DM104:DM107)</f>
        <v>4243</v>
      </c>
      <c r="DN108">
        <v>12</v>
      </c>
      <c r="DO108">
        <f>DM108-(DN108*35)</f>
        <v>3823</v>
      </c>
      <c r="DP108" s="10">
        <v>6200</v>
      </c>
      <c r="DQ108" s="10">
        <f>DO108*DP108</f>
        <v>23702600</v>
      </c>
      <c r="DS108">
        <v>65</v>
      </c>
      <c r="DT108" t="s">
        <v>119</v>
      </c>
      <c r="DU108">
        <v>1741</v>
      </c>
      <c r="DV108">
        <v>1814</v>
      </c>
      <c r="DZ108" t="s">
        <v>325</v>
      </c>
      <c r="ED108" s="10"/>
      <c r="EE108" s="10"/>
    </row>
    <row r="109" spans="2:135" x14ac:dyDescent="0.25">
      <c r="B109" s="5" t="s">
        <v>141</v>
      </c>
      <c r="C109" s="5">
        <v>17</v>
      </c>
      <c r="D109" s="7">
        <v>3500</v>
      </c>
      <c r="E109" s="7">
        <f t="shared" ref="E109:E112" si="4">C109*D109</f>
        <v>59500</v>
      </c>
      <c r="H109" s="5">
        <v>71</v>
      </c>
      <c r="I109" s="5" t="s">
        <v>124</v>
      </c>
      <c r="J109" s="5">
        <v>1470</v>
      </c>
      <c r="K109" s="21">
        <v>2875</v>
      </c>
      <c r="L109" s="5"/>
      <c r="P109" s="5"/>
      <c r="Q109" s="16"/>
      <c r="R109" s="11"/>
      <c r="S109" s="14">
        <f>SUM(S93:S108)</f>
        <v>15440</v>
      </c>
      <c r="T109" s="5"/>
      <c r="X109" s="5">
        <v>70</v>
      </c>
      <c r="Y109" s="16" t="s">
        <v>118</v>
      </c>
      <c r="Z109" s="11">
        <v>1504</v>
      </c>
      <c r="AA109" s="15">
        <v>85</v>
      </c>
      <c r="AB109" s="5"/>
      <c r="AF109" s="5" t="s">
        <v>214</v>
      </c>
      <c r="AG109" s="16"/>
      <c r="AH109" s="11"/>
      <c r="AI109" s="21"/>
      <c r="AJ109" s="5"/>
      <c r="AK109" s="5"/>
      <c r="AM109" s="5">
        <v>68</v>
      </c>
      <c r="AN109" s="5" t="s">
        <v>120</v>
      </c>
      <c r="AO109" s="5">
        <v>1548</v>
      </c>
      <c r="AP109" s="5">
        <v>3382</v>
      </c>
      <c r="AQ109" s="5"/>
      <c r="AT109" s="5" t="s">
        <v>140</v>
      </c>
      <c r="AU109" s="5" t="s">
        <v>141</v>
      </c>
      <c r="AV109" s="5" t="s">
        <v>255</v>
      </c>
      <c r="AW109" s="5" t="s">
        <v>144</v>
      </c>
      <c r="AX109" s="5" t="s">
        <v>143</v>
      </c>
      <c r="BA109" s="5" t="s">
        <v>130</v>
      </c>
      <c r="BB109" s="16" t="s">
        <v>116</v>
      </c>
      <c r="BC109" s="11" t="s">
        <v>211</v>
      </c>
      <c r="BD109" s="21" t="s">
        <v>212</v>
      </c>
      <c r="BE109" s="5" t="s">
        <v>139</v>
      </c>
      <c r="BF109" s="5" t="s">
        <v>213</v>
      </c>
      <c r="BH109" s="5" t="s">
        <v>141</v>
      </c>
      <c r="BI109" s="16">
        <v>13</v>
      </c>
      <c r="BJ109" s="29">
        <v>4000</v>
      </c>
      <c r="BK109" s="30">
        <f t="shared" ref="BK109:BK112" si="5">BI109*BJ109</f>
        <v>52000</v>
      </c>
      <c r="BO109" s="5" t="s">
        <v>142</v>
      </c>
      <c r="BP109" s="16">
        <v>24</v>
      </c>
      <c r="BQ109" s="29">
        <v>2000</v>
      </c>
      <c r="BR109" s="30">
        <f t="shared" si="3"/>
        <v>48000</v>
      </c>
      <c r="CT109" s="10">
        <f>SUM(CT104:CT108)</f>
        <v>1232000</v>
      </c>
      <c r="CX109">
        <v>0.2</v>
      </c>
      <c r="CY109">
        <f>DA85</f>
        <v>11402</v>
      </c>
      <c r="DB109" s="10"/>
      <c r="DC109" s="10"/>
      <c r="DE109">
        <v>0.28000000000000003</v>
      </c>
      <c r="DF109">
        <f>DG52</f>
        <v>3551</v>
      </c>
      <c r="DI109" s="10"/>
      <c r="DJ109" s="10"/>
      <c r="DK109" s="10"/>
      <c r="DP109" s="10"/>
      <c r="DQ109" s="10"/>
      <c r="DS109">
        <v>66</v>
      </c>
      <c r="DT109" t="s">
        <v>120</v>
      </c>
      <c r="DU109">
        <v>1819</v>
      </c>
      <c r="DV109">
        <v>2193</v>
      </c>
      <c r="DZ109">
        <v>0.4</v>
      </c>
      <c r="EA109">
        <f>EC35</f>
        <v>579</v>
      </c>
      <c r="ED109" s="10"/>
      <c r="EE109" s="10"/>
    </row>
    <row r="110" spans="2:135" x14ac:dyDescent="0.25">
      <c r="B110" s="5" t="s">
        <v>142</v>
      </c>
      <c r="C110" s="5">
        <v>10</v>
      </c>
      <c r="D110" s="7">
        <v>2000</v>
      </c>
      <c r="E110" s="7">
        <f t="shared" si="4"/>
        <v>20000</v>
      </c>
      <c r="H110" s="5">
        <v>72</v>
      </c>
      <c r="I110" s="5" t="s">
        <v>122</v>
      </c>
      <c r="J110" s="5">
        <v>1349</v>
      </c>
      <c r="K110" s="21">
        <v>1343</v>
      </c>
      <c r="L110" s="5"/>
      <c r="P110" s="5"/>
      <c r="Q110" s="13">
        <v>0.18</v>
      </c>
      <c r="R110" s="11"/>
      <c r="S110" s="15"/>
      <c r="T110" s="5"/>
      <c r="X110" s="5"/>
      <c r="Y110" s="16"/>
      <c r="Z110" s="11"/>
      <c r="AA110" s="14">
        <f>SUM(AA95:AA109)</f>
        <v>7959</v>
      </c>
      <c r="AB110" s="5"/>
      <c r="AF110" s="5">
        <v>0.45</v>
      </c>
      <c r="AG110" s="22">
        <f>AI10</f>
        <v>3181</v>
      </c>
      <c r="AH110" s="16"/>
      <c r="AI110" s="15"/>
      <c r="AJ110" s="5"/>
      <c r="AK110" s="5"/>
      <c r="AM110" s="5"/>
      <c r="AN110" s="5"/>
      <c r="AO110" s="5"/>
      <c r="AP110" s="5"/>
      <c r="AQ110" s="5"/>
      <c r="AT110" s="5">
        <v>10</v>
      </c>
      <c r="AU110" s="5">
        <v>14</v>
      </c>
      <c r="AV110" s="5">
        <v>17</v>
      </c>
      <c r="AW110" s="5">
        <v>120</v>
      </c>
      <c r="AX110" s="5">
        <v>70</v>
      </c>
      <c r="BA110" s="5" t="s">
        <v>214</v>
      </c>
      <c r="BB110" s="16"/>
      <c r="BC110" s="11"/>
      <c r="BD110" s="21"/>
      <c r="BE110" s="5"/>
      <c r="BF110" s="5"/>
      <c r="BH110" s="5" t="s">
        <v>144</v>
      </c>
      <c r="BI110" s="16">
        <v>1200</v>
      </c>
      <c r="BJ110" s="29">
        <v>260</v>
      </c>
      <c r="BK110" s="30">
        <f t="shared" si="5"/>
        <v>312000</v>
      </c>
      <c r="BO110" s="5" t="s">
        <v>143</v>
      </c>
      <c r="BP110" s="16">
        <v>200</v>
      </c>
      <c r="BQ110" s="29">
        <v>300</v>
      </c>
      <c r="BR110" s="30">
        <f t="shared" si="3"/>
        <v>60000</v>
      </c>
      <c r="CV110" s="9">
        <f>SUM(CV90,CV98,CT109)</f>
        <v>134156060</v>
      </c>
      <c r="CX110">
        <v>0.18</v>
      </c>
      <c r="CY110">
        <f>DA93</f>
        <v>10855</v>
      </c>
      <c r="DB110" s="10"/>
      <c r="DC110" s="10"/>
      <c r="DE110">
        <v>0.24</v>
      </c>
      <c r="DF110">
        <f>DG67</f>
        <v>19844</v>
      </c>
      <c r="DI110" s="10"/>
      <c r="DJ110" s="10"/>
      <c r="DK110" s="10"/>
      <c r="DL110" t="s">
        <v>325</v>
      </c>
      <c r="DP110" s="10"/>
      <c r="DQ110" s="10"/>
      <c r="DS110">
        <v>67</v>
      </c>
      <c r="DT110" t="s">
        <v>253</v>
      </c>
      <c r="DU110">
        <v>1755</v>
      </c>
      <c r="DV110">
        <v>1736</v>
      </c>
      <c r="DZ110">
        <v>0.28000000000000003</v>
      </c>
      <c r="EA110">
        <f>EC47</f>
        <v>3994</v>
      </c>
      <c r="ED110" s="10"/>
      <c r="EE110" s="10"/>
    </row>
    <row r="111" spans="2:135" x14ac:dyDescent="0.25">
      <c r="B111" s="5" t="s">
        <v>143</v>
      </c>
      <c r="C111" s="5">
        <v>50</v>
      </c>
      <c r="D111" s="7">
        <v>170</v>
      </c>
      <c r="E111" s="7">
        <f t="shared" si="4"/>
        <v>8500</v>
      </c>
      <c r="H111" s="5">
        <v>73</v>
      </c>
      <c r="I111" s="5" t="s">
        <v>123</v>
      </c>
      <c r="J111" s="5">
        <v>1419</v>
      </c>
      <c r="K111" s="21">
        <v>100</v>
      </c>
      <c r="L111" s="5"/>
      <c r="P111" s="5">
        <v>71</v>
      </c>
      <c r="Q111" s="16" t="s">
        <v>210</v>
      </c>
      <c r="R111" s="11">
        <v>1520</v>
      </c>
      <c r="S111" s="15">
        <v>3106</v>
      </c>
      <c r="T111" s="5"/>
      <c r="X111" s="5"/>
      <c r="Y111" s="13">
        <v>0.18</v>
      </c>
      <c r="Z111" s="11"/>
      <c r="AA111" s="15"/>
      <c r="AB111" s="5"/>
      <c r="AF111" s="5">
        <v>0.55000000000000004</v>
      </c>
      <c r="AG111" s="22">
        <f>AI24</f>
        <v>4047</v>
      </c>
      <c r="AH111" s="16"/>
      <c r="AI111" s="15"/>
      <c r="AJ111" s="5"/>
      <c r="AK111" s="5"/>
      <c r="AM111" s="5" t="s">
        <v>217</v>
      </c>
      <c r="AN111" s="5"/>
      <c r="AO111" s="5"/>
      <c r="AP111" s="5"/>
      <c r="AQ111" s="5"/>
      <c r="BA111" s="5">
        <v>0.45</v>
      </c>
      <c r="BB111" s="22">
        <f>BD10</f>
        <v>2950</v>
      </c>
      <c r="BC111" s="16"/>
      <c r="BD111" s="15"/>
      <c r="BE111" s="5"/>
      <c r="BF111" s="5"/>
      <c r="BH111" s="5" t="s">
        <v>142</v>
      </c>
      <c r="BI111" s="16">
        <v>15</v>
      </c>
      <c r="BJ111" s="29">
        <v>2000</v>
      </c>
      <c r="BK111" s="30">
        <f t="shared" si="5"/>
        <v>30000</v>
      </c>
      <c r="BO111" s="6"/>
      <c r="BP111" s="13"/>
      <c r="BQ111" s="12"/>
      <c r="BR111" s="14">
        <f>SUM(BR106:BR110)</f>
        <v>570000</v>
      </c>
      <c r="BS111" s="2"/>
      <c r="BT111" s="2"/>
      <c r="CW111" s="9"/>
      <c r="CY111">
        <f>SUM(CY105:CY110)</f>
        <v>59764</v>
      </c>
      <c r="CZ111">
        <v>45</v>
      </c>
      <c r="DA111">
        <f>CY111-(CZ111*60)</f>
        <v>57064</v>
      </c>
      <c r="DB111" s="10">
        <v>2090</v>
      </c>
      <c r="DC111" s="10">
        <f>DA111*DB111</f>
        <v>119263760</v>
      </c>
      <c r="DE111">
        <v>0.22</v>
      </c>
      <c r="DF111">
        <f>DG75</f>
        <v>2417</v>
      </c>
      <c r="DI111" s="10"/>
      <c r="DJ111" s="10"/>
      <c r="DK111" s="10"/>
      <c r="DL111">
        <v>0.4</v>
      </c>
      <c r="DM111">
        <f>DO34</f>
        <v>1950</v>
      </c>
      <c r="DP111" s="10"/>
      <c r="DQ111" s="10"/>
      <c r="DR111" s="10"/>
      <c r="DS111">
        <v>68</v>
      </c>
      <c r="DT111" t="s">
        <v>122</v>
      </c>
      <c r="DU111">
        <v>1731</v>
      </c>
      <c r="DV111">
        <v>680</v>
      </c>
      <c r="DZ111">
        <v>0.24</v>
      </c>
      <c r="EA111">
        <f>EC66</f>
        <v>21800</v>
      </c>
      <c r="ED111" s="10"/>
      <c r="EE111" s="10"/>
    </row>
    <row r="112" spans="2:135" x14ac:dyDescent="0.25">
      <c r="B112" s="5" t="s">
        <v>144</v>
      </c>
      <c r="C112" s="5">
        <v>100</v>
      </c>
      <c r="D112" s="7">
        <v>100</v>
      </c>
      <c r="E112" s="7">
        <f t="shared" si="4"/>
        <v>10000</v>
      </c>
      <c r="H112" s="5"/>
      <c r="I112" s="5"/>
      <c r="J112" s="5"/>
      <c r="K112" s="35">
        <f>SUM(K99:K111)</f>
        <v>12828</v>
      </c>
      <c r="L112" s="5"/>
      <c r="P112" s="5">
        <v>72</v>
      </c>
      <c r="Q112" s="16" t="s">
        <v>209</v>
      </c>
      <c r="R112" s="11">
        <v>1422</v>
      </c>
      <c r="S112" s="15">
        <v>88</v>
      </c>
      <c r="T112" s="5"/>
      <c r="X112" s="5">
        <v>71</v>
      </c>
      <c r="Y112" s="16" t="s">
        <v>210</v>
      </c>
      <c r="Z112" s="11">
        <v>1520</v>
      </c>
      <c r="AA112" s="15">
        <v>2779</v>
      </c>
      <c r="AB112" s="5"/>
      <c r="AF112" s="23" t="s">
        <v>215</v>
      </c>
      <c r="AG112" s="22">
        <f>AI35</f>
        <v>2144</v>
      </c>
      <c r="AH112" s="16"/>
      <c r="AI112" s="15"/>
      <c r="AJ112" s="5"/>
      <c r="AK112" s="5"/>
      <c r="AM112" s="5" t="s">
        <v>140</v>
      </c>
      <c r="AN112" s="5" t="s">
        <v>141</v>
      </c>
      <c r="AO112" s="5" t="s">
        <v>142</v>
      </c>
      <c r="AP112" s="5" t="s">
        <v>143</v>
      </c>
      <c r="AQ112" s="5" t="s">
        <v>144</v>
      </c>
      <c r="BA112" s="5">
        <v>0.55000000000000004</v>
      </c>
      <c r="BB112" s="22">
        <f>BD23</f>
        <v>5334</v>
      </c>
      <c r="BC112" s="16"/>
      <c r="BD112" s="15"/>
      <c r="BE112" s="5"/>
      <c r="BF112" s="5"/>
      <c r="BH112" s="5" t="s">
        <v>143</v>
      </c>
      <c r="BI112" s="16">
        <v>300</v>
      </c>
      <c r="BJ112" s="29">
        <v>300</v>
      </c>
      <c r="BK112" s="30">
        <f t="shared" si="5"/>
        <v>90000</v>
      </c>
      <c r="BO112" s="2"/>
      <c r="BP112" s="31"/>
      <c r="BQ112" s="4"/>
      <c r="BR112" s="32"/>
      <c r="BS112" s="2" t="s">
        <v>218</v>
      </c>
      <c r="BT112" s="33">
        <f>BT101+BR111</f>
        <v>122651950</v>
      </c>
      <c r="DE112">
        <v>0.2</v>
      </c>
      <c r="DF112">
        <f>DG90</f>
        <v>15638</v>
      </c>
      <c r="DI112" s="10"/>
      <c r="DJ112" s="10"/>
      <c r="DK112" s="10"/>
      <c r="DL112">
        <v>0.28000000000000003</v>
      </c>
      <c r="DM112">
        <f>DO49</f>
        <v>11792</v>
      </c>
      <c r="DP112" s="10"/>
      <c r="DQ112" s="10"/>
      <c r="DR112" s="10"/>
      <c r="DV112">
        <f>SUM(DV108:DV111)</f>
        <v>6423</v>
      </c>
      <c r="DZ112">
        <v>0.22</v>
      </c>
      <c r="EA112">
        <f>EC75</f>
        <v>5828</v>
      </c>
      <c r="ED112" s="10"/>
      <c r="EE112" s="10"/>
    </row>
    <row r="113" spans="2:135" x14ac:dyDescent="0.25">
      <c r="B113" s="5"/>
      <c r="C113" s="5"/>
      <c r="D113" s="7"/>
      <c r="E113" s="7">
        <f>SUM(E108:E112)</f>
        <v>252000</v>
      </c>
      <c r="P113" s="5"/>
      <c r="Q113" s="16"/>
      <c r="R113" s="11"/>
      <c r="S113" s="14">
        <f>SUM(S111:S112)</f>
        <v>3194</v>
      </c>
      <c r="T113" s="5"/>
      <c r="X113" s="5"/>
      <c r="Y113" s="17"/>
      <c r="Z113" s="18"/>
      <c r="AA113" s="19"/>
      <c r="AB113" s="5"/>
      <c r="AE113" s="2"/>
      <c r="AF113" s="5">
        <v>0.7</v>
      </c>
      <c r="AG113" s="22">
        <f>AI38</f>
        <v>656</v>
      </c>
      <c r="AH113" s="16"/>
      <c r="AI113" s="15"/>
      <c r="AJ113" s="5"/>
      <c r="AK113" s="5"/>
      <c r="AM113" s="5">
        <v>5</v>
      </c>
      <c r="AN113" s="5">
        <v>9</v>
      </c>
      <c r="AO113" s="5">
        <v>14</v>
      </c>
      <c r="AP113" s="5">
        <v>150</v>
      </c>
      <c r="AQ113" s="5">
        <v>0</v>
      </c>
      <c r="BA113" s="23" t="s">
        <v>215</v>
      </c>
      <c r="BB113" s="22">
        <f>BD35</f>
        <v>1527</v>
      </c>
      <c r="BC113" s="16"/>
      <c r="BD113" s="15"/>
      <c r="BE113" s="5"/>
      <c r="BF113" s="5"/>
      <c r="BH113" s="6"/>
      <c r="BI113" s="13"/>
      <c r="BJ113" s="12"/>
      <c r="BK113" s="14">
        <f>SUM(BK108:BK112)</f>
        <v>684000</v>
      </c>
      <c r="BL113" s="2"/>
      <c r="BM113" s="2"/>
      <c r="DE113">
        <v>0.18</v>
      </c>
      <c r="DF113">
        <f>DG97</f>
        <v>8611</v>
      </c>
      <c r="DI113" s="10"/>
      <c r="DJ113" s="10"/>
      <c r="DK113" s="10"/>
      <c r="DL113">
        <v>0.24</v>
      </c>
      <c r="DM113">
        <f>DO66</f>
        <v>16191</v>
      </c>
      <c r="DP113" s="10"/>
      <c r="DQ113" s="10"/>
      <c r="DR113" s="10"/>
      <c r="DZ113">
        <v>0.2</v>
      </c>
      <c r="EA113">
        <f>EC91</f>
        <v>23476</v>
      </c>
      <c r="ED113" s="10"/>
      <c r="EE113" s="10"/>
    </row>
    <row r="114" spans="2:135" x14ac:dyDescent="0.25">
      <c r="Q114" s="17"/>
      <c r="R114" s="18"/>
      <c r="S114" s="19"/>
      <c r="X114" s="5"/>
      <c r="Y114" s="16"/>
      <c r="Z114" s="11"/>
      <c r="AA114" s="14">
        <f>SUM(AA112:AA113)</f>
        <v>2779</v>
      </c>
      <c r="AB114" s="5"/>
      <c r="AF114" s="6"/>
      <c r="AG114" s="24">
        <f>SUM(AG110:AG113)</f>
        <v>10028</v>
      </c>
      <c r="AH114" s="13">
        <v>26</v>
      </c>
      <c r="AI114" s="14">
        <f>AG114-(AH114*35)</f>
        <v>9118</v>
      </c>
      <c r="AJ114" s="6">
        <v>5600</v>
      </c>
      <c r="AK114" s="25">
        <f>AJ114*AI114</f>
        <v>51060800</v>
      </c>
      <c r="AU114" s="17"/>
      <c r="AV114" s="18"/>
      <c r="AW114" s="19"/>
      <c r="BA114" s="5">
        <v>0.7</v>
      </c>
      <c r="BB114" s="22">
        <f>BD44</f>
        <v>1616</v>
      </c>
      <c r="BC114" s="16"/>
      <c r="BD114" s="15"/>
      <c r="BE114" s="5"/>
      <c r="BF114" s="5"/>
      <c r="BG114" s="5"/>
      <c r="BH114" s="2"/>
      <c r="BI114" s="31"/>
      <c r="BJ114" s="4"/>
      <c r="BK114" s="32"/>
      <c r="BL114" s="2" t="s">
        <v>218</v>
      </c>
      <c r="BM114" s="33">
        <f>BM103+BK113</f>
        <v>177934700</v>
      </c>
      <c r="BN114" s="5"/>
      <c r="DF114">
        <f>SUM(DF108:DF113)</f>
        <v>52011</v>
      </c>
      <c r="DG114">
        <v>41</v>
      </c>
      <c r="DH114">
        <f>DF114-(DG114*60)</f>
        <v>49551</v>
      </c>
      <c r="DI114" s="10">
        <v>2090</v>
      </c>
      <c r="DJ114" s="10">
        <f>DH114*DI114</f>
        <v>103561590</v>
      </c>
      <c r="DK114" s="10"/>
      <c r="DL114">
        <v>0.22</v>
      </c>
      <c r="DM114">
        <f>DO77</f>
        <v>9461</v>
      </c>
      <c r="DP114" s="10"/>
      <c r="DQ114" s="10"/>
      <c r="DR114" s="10"/>
      <c r="DS114" t="s">
        <v>323</v>
      </c>
      <c r="DT114" t="s">
        <v>116</v>
      </c>
      <c r="DU114" t="s">
        <v>211</v>
      </c>
      <c r="DV114" t="s">
        <v>212</v>
      </c>
      <c r="DW114" t="s">
        <v>139</v>
      </c>
      <c r="DX114" s="10" t="s">
        <v>213</v>
      </c>
      <c r="DZ114">
        <v>0.18</v>
      </c>
      <c r="EA114">
        <f>EC98</f>
        <v>5607</v>
      </c>
      <c r="ED114" s="10"/>
      <c r="EE114" s="10"/>
    </row>
    <row r="115" spans="2:135" x14ac:dyDescent="0.25">
      <c r="B115" s="5" t="s">
        <v>145</v>
      </c>
      <c r="C115" s="5"/>
      <c r="D115" s="5"/>
      <c r="Q115" s="17"/>
      <c r="R115" s="18"/>
      <c r="S115" s="19"/>
      <c r="Y115" s="17"/>
      <c r="Z115" s="18"/>
      <c r="AA115" s="20"/>
      <c r="AF115" s="5"/>
      <c r="AG115" s="5"/>
      <c r="AH115" s="16"/>
      <c r="AI115" s="15">
        <v>7900</v>
      </c>
      <c r="AJ115" s="5"/>
      <c r="AK115" s="5"/>
      <c r="AT115" s="5" t="s">
        <v>130</v>
      </c>
      <c r="AU115" s="16" t="s">
        <v>116</v>
      </c>
      <c r="AV115" s="11" t="s">
        <v>211</v>
      </c>
      <c r="AW115" s="21" t="s">
        <v>212</v>
      </c>
      <c r="AX115" s="5" t="s">
        <v>139</v>
      </c>
      <c r="AY115" s="5" t="s">
        <v>213</v>
      </c>
      <c r="AZ115" s="5"/>
      <c r="BA115" s="6"/>
      <c r="BB115" s="24">
        <f>SUM(BB111:BB114)</f>
        <v>11427</v>
      </c>
      <c r="BC115" s="13">
        <v>27</v>
      </c>
      <c r="BD115" s="14">
        <f>BB115-(BC115*35)</f>
        <v>10482</v>
      </c>
      <c r="BE115" s="6">
        <v>6000</v>
      </c>
      <c r="BF115" s="25">
        <f>BE115*BD115</f>
        <v>62892000</v>
      </c>
      <c r="BG115" s="5"/>
      <c r="CY115" t="s">
        <v>217</v>
      </c>
      <c r="DL115">
        <v>0.2</v>
      </c>
      <c r="DM115">
        <f>DO93</f>
        <v>24976</v>
      </c>
      <c r="DP115" s="10"/>
      <c r="DQ115" s="10"/>
      <c r="DR115" s="10"/>
      <c r="DS115" t="s">
        <v>324</v>
      </c>
      <c r="EA115">
        <f>SUM(EA109:EA114)</f>
        <v>61284</v>
      </c>
      <c r="EB115">
        <v>50</v>
      </c>
      <c r="EC115">
        <f>EA115-(EB115*60)</f>
        <v>58284</v>
      </c>
      <c r="ED115" s="10">
        <v>1850</v>
      </c>
      <c r="EE115" s="10">
        <f>EC115*ED115</f>
        <v>107825400</v>
      </c>
    </row>
    <row r="116" spans="2:135" x14ac:dyDescent="0.25">
      <c r="B116" s="5">
        <v>70.8</v>
      </c>
      <c r="C116" s="7">
        <v>3000</v>
      </c>
      <c r="D116" s="7">
        <f>B116*C116</f>
        <v>212400</v>
      </c>
      <c r="H116" s="5" t="s">
        <v>130</v>
      </c>
      <c r="I116" s="16" t="s">
        <v>116</v>
      </c>
      <c r="J116" s="11" t="s">
        <v>211</v>
      </c>
      <c r="K116" s="21" t="s">
        <v>212</v>
      </c>
      <c r="L116" s="5" t="s">
        <v>139</v>
      </c>
      <c r="M116" s="5" t="s">
        <v>213</v>
      </c>
      <c r="Q116" s="17"/>
      <c r="R116" s="18"/>
      <c r="S116" s="19"/>
      <c r="Y116" s="17"/>
      <c r="Z116" s="18"/>
      <c r="AA116" s="20"/>
      <c r="AF116" s="5" t="s">
        <v>216</v>
      </c>
      <c r="AG116" s="5"/>
      <c r="AH116" s="16"/>
      <c r="AI116" s="15"/>
      <c r="AJ116" s="5"/>
      <c r="AK116" s="5"/>
      <c r="AT116" s="5" t="s">
        <v>214</v>
      </c>
      <c r="AU116" s="16"/>
      <c r="AV116" s="11"/>
      <c r="AW116" s="21"/>
      <c r="AX116" s="5"/>
      <c r="AY116" s="5"/>
      <c r="AZ116" s="5"/>
      <c r="BA116" s="5"/>
      <c r="BB116" s="5"/>
      <c r="BC116" s="16"/>
      <c r="BD116" s="15"/>
      <c r="BE116" s="5"/>
      <c r="BF116" s="5"/>
      <c r="CX116" t="s">
        <v>136</v>
      </c>
      <c r="CY116" t="s">
        <v>137</v>
      </c>
      <c r="CZ116" t="s">
        <v>138</v>
      </c>
      <c r="DA116" t="s">
        <v>139</v>
      </c>
      <c r="DL116">
        <v>0.18</v>
      </c>
      <c r="DM116">
        <f>DO100</f>
        <v>7227</v>
      </c>
      <c r="DP116" s="10"/>
      <c r="DQ116" s="10"/>
      <c r="DR116" s="10"/>
      <c r="DS116">
        <v>0.45</v>
      </c>
      <c r="DT116">
        <f>DV34</f>
        <v>967</v>
      </c>
    </row>
    <row r="117" spans="2:135" x14ac:dyDescent="0.25">
      <c r="H117" s="5" t="s">
        <v>214</v>
      </c>
      <c r="I117" s="16"/>
      <c r="J117" s="11"/>
      <c r="K117" s="21"/>
      <c r="L117" s="5"/>
      <c r="M117" s="7"/>
      <c r="Q117" s="17"/>
      <c r="R117" s="18"/>
      <c r="S117" s="19"/>
      <c r="Y117" s="17"/>
      <c r="Z117" s="18"/>
      <c r="AA117" s="19"/>
      <c r="AF117" s="5">
        <v>0.28000000000000003</v>
      </c>
      <c r="AG117" s="26">
        <f>AI50</f>
        <v>6778</v>
      </c>
      <c r="AH117" s="16"/>
      <c r="AI117" s="15"/>
      <c r="AJ117" s="5"/>
      <c r="AK117" s="5"/>
      <c r="AN117" s="17"/>
      <c r="AO117" s="18"/>
      <c r="AP117" s="19"/>
      <c r="AT117" s="5">
        <v>0.45</v>
      </c>
      <c r="AU117" s="22">
        <f>AW10</f>
        <v>3063</v>
      </c>
      <c r="AV117" s="16"/>
      <c r="AW117" s="15"/>
      <c r="AX117" s="5"/>
      <c r="AY117" s="5"/>
      <c r="BA117" s="5" t="s">
        <v>216</v>
      </c>
      <c r="BB117" s="5"/>
      <c r="BC117" s="16"/>
      <c r="BD117" s="15"/>
      <c r="BE117" s="5"/>
      <c r="BF117" s="5"/>
      <c r="CX117" t="s">
        <v>140</v>
      </c>
      <c r="CY117">
        <v>15</v>
      </c>
      <c r="CZ117">
        <v>40000</v>
      </c>
      <c r="DA117" s="10">
        <f>CY117*CZ117</f>
        <v>600000</v>
      </c>
      <c r="DB117" s="10"/>
      <c r="DM117">
        <f>SUM(DM111:DM116)</f>
        <v>71597</v>
      </c>
      <c r="DN117">
        <v>51</v>
      </c>
      <c r="DO117">
        <f>DM117-(DN117*60)</f>
        <v>68537</v>
      </c>
      <c r="DP117" s="10">
        <v>1980</v>
      </c>
      <c r="DQ117" s="10">
        <f>DO117*DP117</f>
        <v>135703260</v>
      </c>
      <c r="DR117" s="10"/>
      <c r="DS117">
        <v>0.55000000000000004</v>
      </c>
      <c r="DT117">
        <f>DV28</f>
        <v>38</v>
      </c>
      <c r="EB117" t="s">
        <v>397</v>
      </c>
      <c r="EE117" s="10"/>
    </row>
    <row r="118" spans="2:135" x14ac:dyDescent="0.25">
      <c r="H118" s="5">
        <v>0.45</v>
      </c>
      <c r="I118" s="22">
        <f>K10</f>
        <v>3556</v>
      </c>
      <c r="J118" s="16"/>
      <c r="K118" s="15"/>
      <c r="L118" s="5"/>
      <c r="M118" s="7"/>
      <c r="P118" s="5" t="s">
        <v>130</v>
      </c>
      <c r="Q118" s="16" t="s">
        <v>116</v>
      </c>
      <c r="R118" s="11" t="s">
        <v>211</v>
      </c>
      <c r="S118" s="21" t="s">
        <v>212</v>
      </c>
      <c r="T118" s="5" t="s">
        <v>139</v>
      </c>
      <c r="U118" s="5" t="s">
        <v>213</v>
      </c>
      <c r="Y118" s="17"/>
      <c r="Z118" s="18"/>
      <c r="AA118" s="19"/>
      <c r="AF118" s="5">
        <v>0.24</v>
      </c>
      <c r="AG118" s="27">
        <f>AI79</f>
        <v>18806</v>
      </c>
      <c r="AH118" s="16"/>
      <c r="AI118" s="15"/>
      <c r="AJ118" s="5"/>
      <c r="AK118" s="5"/>
      <c r="AM118" s="5" t="s">
        <v>130</v>
      </c>
      <c r="AN118" s="16" t="s">
        <v>116</v>
      </c>
      <c r="AO118" s="11" t="s">
        <v>211</v>
      </c>
      <c r="AP118" s="21" t="s">
        <v>212</v>
      </c>
      <c r="AQ118" s="5" t="s">
        <v>139</v>
      </c>
      <c r="AR118" s="5" t="s">
        <v>213</v>
      </c>
      <c r="AT118" s="5">
        <v>0.55000000000000004</v>
      </c>
      <c r="AU118" s="22">
        <f>AW25</f>
        <v>6770</v>
      </c>
      <c r="AV118" s="16"/>
      <c r="AW118" s="15"/>
      <c r="AX118" s="5"/>
      <c r="AY118" s="5"/>
      <c r="BA118" s="5">
        <v>0.28000000000000003</v>
      </c>
      <c r="BB118" s="26">
        <f>BD51</f>
        <v>4472</v>
      </c>
      <c r="BC118" s="16"/>
      <c r="BD118" s="15"/>
      <c r="BE118" s="5"/>
      <c r="BF118" s="5"/>
      <c r="CX118" t="s">
        <v>349</v>
      </c>
      <c r="CY118">
        <v>11</v>
      </c>
      <c r="CZ118">
        <v>4500</v>
      </c>
      <c r="DA118" s="10">
        <f t="shared" ref="DA118:DA121" si="6">CY118*CZ118</f>
        <v>49500</v>
      </c>
      <c r="DB118" s="10"/>
      <c r="DR118" s="10"/>
      <c r="DS118" t="s">
        <v>215</v>
      </c>
      <c r="DT118">
        <f>DV11</f>
        <v>2714</v>
      </c>
      <c r="DZ118" t="s">
        <v>408</v>
      </c>
      <c r="EA118">
        <v>400</v>
      </c>
      <c r="EE118" s="10"/>
    </row>
    <row r="119" spans="2:135" x14ac:dyDescent="0.25">
      <c r="B119" t="s">
        <v>146</v>
      </c>
      <c r="D119" s="9">
        <f>F104+E113+D116</f>
        <v>85764250</v>
      </c>
      <c r="H119" s="5">
        <v>0.55000000000000004</v>
      </c>
      <c r="I119" s="22">
        <f>K28</f>
        <v>4442</v>
      </c>
      <c r="J119" s="16"/>
      <c r="K119" s="15"/>
      <c r="L119" s="5"/>
      <c r="M119" s="7"/>
      <c r="P119" s="5" t="s">
        <v>214</v>
      </c>
      <c r="Q119" s="16"/>
      <c r="R119" s="11"/>
      <c r="S119" s="21"/>
      <c r="T119" s="5"/>
      <c r="U119" s="5"/>
      <c r="X119" s="5" t="s">
        <v>130</v>
      </c>
      <c r="Y119" s="16" t="s">
        <v>116</v>
      </c>
      <c r="Z119" s="11" t="s">
        <v>211</v>
      </c>
      <c r="AA119" s="21" t="s">
        <v>212</v>
      </c>
      <c r="AB119" s="5" t="s">
        <v>139</v>
      </c>
      <c r="AC119" s="5" t="s">
        <v>213</v>
      </c>
      <c r="AF119" s="5">
        <v>0.22</v>
      </c>
      <c r="AG119" s="27">
        <f>AI86</f>
        <v>11766</v>
      </c>
      <c r="AH119" s="16"/>
      <c r="AI119" s="15"/>
      <c r="AJ119" s="5"/>
      <c r="AK119" s="5"/>
      <c r="AM119" s="5" t="s">
        <v>214</v>
      </c>
      <c r="AN119" s="16"/>
      <c r="AO119" s="11"/>
      <c r="AP119" s="21"/>
      <c r="AQ119" s="5"/>
      <c r="AR119" s="5"/>
      <c r="AT119" s="23" t="s">
        <v>215</v>
      </c>
      <c r="AU119" s="22">
        <f>AW40</f>
        <v>4096</v>
      </c>
      <c r="AV119" s="16"/>
      <c r="AW119" s="15"/>
      <c r="AX119" s="5"/>
      <c r="AY119" s="5"/>
      <c r="BA119" s="5">
        <v>0.24</v>
      </c>
      <c r="BB119" s="27">
        <f>BD81</f>
        <v>24947</v>
      </c>
      <c r="BC119" s="16"/>
      <c r="BD119" s="15"/>
      <c r="BE119" s="5"/>
      <c r="BF119" s="5"/>
      <c r="CX119" t="s">
        <v>350</v>
      </c>
      <c r="CY119">
        <v>18</v>
      </c>
      <c r="CZ119">
        <v>2500</v>
      </c>
      <c r="DA119" s="10">
        <f t="shared" si="6"/>
        <v>45000</v>
      </c>
      <c r="DB119" s="10"/>
      <c r="DE119" t="s">
        <v>353</v>
      </c>
      <c r="DR119" s="10"/>
      <c r="DS119">
        <v>0.7</v>
      </c>
      <c r="DT119">
        <f>DV19+DV23</f>
        <v>1315</v>
      </c>
      <c r="DW119" s="10"/>
      <c r="DZ119" t="s">
        <v>399</v>
      </c>
      <c r="EA119">
        <v>1375</v>
      </c>
      <c r="EE119" s="10"/>
    </row>
    <row r="120" spans="2:135" x14ac:dyDescent="0.25">
      <c r="H120" s="23" t="s">
        <v>215</v>
      </c>
      <c r="I120" s="22">
        <f>K38</f>
        <v>4162</v>
      </c>
      <c r="J120" s="16"/>
      <c r="K120" s="15"/>
      <c r="L120" s="5"/>
      <c r="M120" s="7"/>
      <c r="P120" s="5">
        <v>0.45</v>
      </c>
      <c r="Q120" s="22">
        <f>S10</f>
        <v>3369</v>
      </c>
      <c r="R120" s="16"/>
      <c r="S120" s="15"/>
      <c r="T120" s="5"/>
      <c r="U120" s="5"/>
      <c r="X120" s="5" t="s">
        <v>214</v>
      </c>
      <c r="Y120" s="16"/>
      <c r="Z120" s="11"/>
      <c r="AA120" s="21"/>
      <c r="AB120" s="5"/>
      <c r="AC120" s="5"/>
      <c r="AF120" s="5">
        <v>0.2</v>
      </c>
      <c r="AG120" s="27">
        <f>AI98</f>
        <v>5719</v>
      </c>
      <c r="AH120" s="16"/>
      <c r="AI120" s="15"/>
      <c r="AJ120" s="5"/>
      <c r="AK120" s="5"/>
      <c r="AM120" s="5">
        <v>0.45</v>
      </c>
      <c r="AN120" s="22">
        <f>AP10</f>
        <v>3137</v>
      </c>
      <c r="AO120" s="16"/>
      <c r="AP120" s="15"/>
      <c r="AQ120" s="5"/>
      <c r="AR120" s="5"/>
      <c r="AT120" s="5">
        <v>0.7</v>
      </c>
      <c r="AU120" s="22">
        <f>AW49</f>
        <v>1616</v>
      </c>
      <c r="AV120" s="16"/>
      <c r="AW120" s="15"/>
      <c r="AX120" s="5"/>
      <c r="AY120" s="5"/>
      <c r="BA120" s="5">
        <v>0.22</v>
      </c>
      <c r="BB120" s="27">
        <f>BD88</f>
        <v>8531</v>
      </c>
      <c r="BC120" s="16"/>
      <c r="BD120" s="15"/>
      <c r="BE120" s="5"/>
      <c r="BF120" s="5"/>
      <c r="BG120" s="33"/>
      <c r="CX120" t="s">
        <v>143</v>
      </c>
      <c r="CY120">
        <v>900</v>
      </c>
      <c r="CZ120">
        <v>300</v>
      </c>
      <c r="DA120" s="10">
        <f t="shared" si="6"/>
        <v>270000</v>
      </c>
      <c r="DB120" s="10"/>
      <c r="DE120" t="s">
        <v>136</v>
      </c>
      <c r="DF120" t="s">
        <v>354</v>
      </c>
      <c r="DN120" t="s">
        <v>217</v>
      </c>
      <c r="DR120" s="10"/>
      <c r="DT120">
        <f>SUM(DT116:DT119)</f>
        <v>5034</v>
      </c>
      <c r="DU120">
        <v>12</v>
      </c>
      <c r="DV120">
        <f>DT120-(DU120*35)</f>
        <v>4614</v>
      </c>
      <c r="DW120" s="10">
        <v>6200</v>
      </c>
      <c r="DX120" s="10">
        <f>DV120*DW120</f>
        <v>28606800</v>
      </c>
      <c r="DZ120" t="s">
        <v>400</v>
      </c>
      <c r="EA120">
        <v>990</v>
      </c>
      <c r="EE120" s="10"/>
    </row>
    <row r="121" spans="2:135" x14ac:dyDescent="0.25">
      <c r="H121" s="5">
        <v>0.7</v>
      </c>
      <c r="I121" s="22">
        <f>K46</f>
        <v>1595</v>
      </c>
      <c r="J121" s="16"/>
      <c r="K121" s="15"/>
      <c r="L121" s="5"/>
      <c r="M121" s="7"/>
      <c r="P121" s="5">
        <v>0.55000000000000004</v>
      </c>
      <c r="Q121" s="22">
        <f>S22</f>
        <v>4387</v>
      </c>
      <c r="R121" s="16"/>
      <c r="S121" s="15"/>
      <c r="T121" s="5"/>
      <c r="U121" s="5"/>
      <c r="X121" s="5">
        <v>0.45</v>
      </c>
      <c r="Y121" s="22">
        <f>AA10</f>
        <v>3315</v>
      </c>
      <c r="Z121" s="16"/>
      <c r="AA121" s="15"/>
      <c r="AB121" s="5"/>
      <c r="AC121" s="5"/>
      <c r="AE121" s="2"/>
      <c r="AF121" s="5">
        <v>0.18</v>
      </c>
      <c r="AG121" s="27">
        <f>AI103</f>
        <v>1167</v>
      </c>
      <c r="AH121" s="16"/>
      <c r="AI121" s="15"/>
      <c r="AJ121" s="5"/>
      <c r="AK121" s="5"/>
      <c r="AM121" s="5">
        <v>0.55000000000000004</v>
      </c>
      <c r="AN121" s="22">
        <f>AP24</f>
        <v>4393</v>
      </c>
      <c r="AO121" s="16"/>
      <c r="AP121" s="15"/>
      <c r="AQ121" s="5"/>
      <c r="AR121" s="5"/>
      <c r="AT121" s="6"/>
      <c r="AU121" s="24">
        <f>SUM(AU117:AU120)</f>
        <v>15545</v>
      </c>
      <c r="AV121" s="13">
        <v>25</v>
      </c>
      <c r="AW121" s="14">
        <f>AU121-(AV121*35)</f>
        <v>14670</v>
      </c>
      <c r="AX121" s="6">
        <v>5800</v>
      </c>
      <c r="AY121" s="25">
        <f>AX121*AW121</f>
        <v>85086000</v>
      </c>
      <c r="AZ121" s="33"/>
      <c r="BA121" s="5">
        <v>0.2</v>
      </c>
      <c r="BB121" s="27">
        <f>BD103</f>
        <v>12411</v>
      </c>
      <c r="BC121" s="16"/>
      <c r="BD121" s="15"/>
      <c r="BE121" s="5"/>
      <c r="BF121" s="5"/>
      <c r="CX121" t="s">
        <v>144</v>
      </c>
      <c r="CY121">
        <v>700</v>
      </c>
      <c r="CZ121">
        <v>300</v>
      </c>
      <c r="DA121" s="10">
        <f t="shared" si="6"/>
        <v>210000</v>
      </c>
      <c r="DB121" s="10"/>
      <c r="DE121" t="s">
        <v>140</v>
      </c>
      <c r="DF121">
        <v>7</v>
      </c>
      <c r="DG121" s="10">
        <v>40000</v>
      </c>
      <c r="DH121" s="10">
        <f>DF121*DG121</f>
        <v>280000</v>
      </c>
      <c r="DL121" t="s">
        <v>136</v>
      </c>
      <c r="DM121" t="s">
        <v>137</v>
      </c>
      <c r="DR121" s="10"/>
      <c r="DW121" s="10"/>
      <c r="DZ121" t="s">
        <v>401</v>
      </c>
      <c r="EA121">
        <v>500</v>
      </c>
      <c r="EE121" s="10"/>
    </row>
    <row r="122" spans="2:135" x14ac:dyDescent="0.25">
      <c r="H122" s="6"/>
      <c r="I122" s="24">
        <f>SUM(I118:I121)</f>
        <v>13755</v>
      </c>
      <c r="J122" s="13">
        <v>29</v>
      </c>
      <c r="K122" s="14">
        <f>I122-(J122*35)</f>
        <v>12740</v>
      </c>
      <c r="L122" s="6">
        <v>5400</v>
      </c>
      <c r="M122" s="37">
        <f>L122*K122</f>
        <v>68796000</v>
      </c>
      <c r="P122" s="23" t="s">
        <v>215</v>
      </c>
      <c r="Q122" s="22">
        <f>S32</f>
        <v>3381</v>
      </c>
      <c r="R122" s="16"/>
      <c r="S122" s="15"/>
      <c r="T122" s="5"/>
      <c r="U122" s="5"/>
      <c r="X122" s="5">
        <v>0.55000000000000004</v>
      </c>
      <c r="Y122" s="22">
        <f>AA24</f>
        <v>5370</v>
      </c>
      <c r="Z122" s="16"/>
      <c r="AA122" s="15"/>
      <c r="AB122" s="5"/>
      <c r="AC122" s="5"/>
      <c r="AE122" s="2"/>
      <c r="AF122" s="6"/>
      <c r="AG122" s="28">
        <f>SUM(AG117:AG121)</f>
        <v>44236</v>
      </c>
      <c r="AH122" s="13">
        <v>39</v>
      </c>
      <c r="AI122" s="14">
        <f>AG122-(AH122*60)</f>
        <v>41896</v>
      </c>
      <c r="AJ122" s="6">
        <v>2100</v>
      </c>
      <c r="AK122" s="25">
        <f>AJ122*AI122</f>
        <v>87981600</v>
      </c>
      <c r="AM122" s="23" t="s">
        <v>215</v>
      </c>
      <c r="AN122" s="22">
        <f>AP33</f>
        <v>1634</v>
      </c>
      <c r="AO122" s="16"/>
      <c r="AP122" s="15"/>
      <c r="AQ122" s="5"/>
      <c r="AR122" s="5"/>
      <c r="AT122" s="5"/>
      <c r="AU122" s="5"/>
      <c r="AV122" s="16"/>
      <c r="AW122" s="15"/>
      <c r="AX122" s="5"/>
      <c r="AY122" s="5"/>
      <c r="BA122" s="5">
        <v>0.18</v>
      </c>
      <c r="BB122" s="27">
        <f>BD105</f>
        <v>450</v>
      </c>
      <c r="BC122" s="16"/>
      <c r="BD122" s="15"/>
      <c r="BE122" s="5"/>
      <c r="BF122" s="5"/>
      <c r="DA122" s="10"/>
      <c r="DB122" s="10">
        <f>SUM(DA117:DA121)</f>
        <v>1174500</v>
      </c>
      <c r="DE122" t="s">
        <v>355</v>
      </c>
      <c r="DF122">
        <v>68</v>
      </c>
      <c r="DG122" s="10">
        <v>58500</v>
      </c>
      <c r="DH122" s="10">
        <f t="shared" ref="DH122:DH126" si="7">DF122*DG122</f>
        <v>3978000</v>
      </c>
      <c r="DL122" t="s">
        <v>140</v>
      </c>
      <c r="DM122">
        <v>9.5</v>
      </c>
      <c r="DN122" s="10">
        <v>40000</v>
      </c>
      <c r="DO122" s="10">
        <f>DM122*DN122</f>
        <v>380000</v>
      </c>
      <c r="DS122" t="s">
        <v>325</v>
      </c>
      <c r="DW122" s="10"/>
      <c r="EA122">
        <f>SUM(EA118:EA121)</f>
        <v>3265</v>
      </c>
      <c r="EB122">
        <v>4900</v>
      </c>
      <c r="EE122" s="10">
        <f>EA122*EB122</f>
        <v>15998500</v>
      </c>
    </row>
    <row r="123" spans="2:135" x14ac:dyDescent="0.25">
      <c r="H123" s="5"/>
      <c r="I123" s="5"/>
      <c r="J123" s="16"/>
      <c r="K123" s="15"/>
      <c r="L123" s="5" t="s">
        <v>224</v>
      </c>
      <c r="M123" s="7"/>
      <c r="P123" s="5">
        <v>0.7</v>
      </c>
      <c r="Q123" s="22">
        <f>S34</f>
        <v>656</v>
      </c>
      <c r="R123" s="16"/>
      <c r="S123" s="15"/>
      <c r="T123" s="5"/>
      <c r="U123" s="5"/>
      <c r="X123" s="23" t="s">
        <v>215</v>
      </c>
      <c r="Y123" s="22">
        <f>AA34</f>
        <v>4050</v>
      </c>
      <c r="Z123" s="16"/>
      <c r="AA123" s="15"/>
      <c r="AB123" s="5"/>
      <c r="AC123" s="5"/>
      <c r="AF123" s="6"/>
      <c r="AG123" s="28"/>
      <c r="AH123" s="13"/>
      <c r="AI123" s="14">
        <v>8563</v>
      </c>
      <c r="AJ123" s="6"/>
      <c r="AK123" s="25"/>
      <c r="AM123" s="5">
        <v>0.7</v>
      </c>
      <c r="AN123" s="22">
        <f>AP43</f>
        <v>1616</v>
      </c>
      <c r="AO123" s="16"/>
      <c r="AP123" s="15"/>
      <c r="AQ123" s="5"/>
      <c r="AR123" s="5"/>
      <c r="AT123" s="5" t="s">
        <v>216</v>
      </c>
      <c r="AU123" s="5"/>
      <c r="AV123" s="16"/>
      <c r="AW123" s="15"/>
      <c r="AX123" s="5"/>
      <c r="AY123" s="5"/>
      <c r="BA123" s="6"/>
      <c r="BB123" s="28">
        <f>SUM(BB118:BB122)</f>
        <v>50811</v>
      </c>
      <c r="BC123" s="13">
        <v>38</v>
      </c>
      <c r="BD123" s="14">
        <f>BB123-(BC123*60)</f>
        <v>48531</v>
      </c>
      <c r="BE123" s="6">
        <v>2200</v>
      </c>
      <c r="BF123" s="25">
        <f>BE123*BD123</f>
        <v>106768200</v>
      </c>
      <c r="DC123" s="9">
        <f>SUM(DC102,DC111,DB122)</f>
        <v>200668660</v>
      </c>
      <c r="DE123" t="s">
        <v>350</v>
      </c>
      <c r="DF123">
        <v>14</v>
      </c>
      <c r="DG123" s="10">
        <v>2500</v>
      </c>
      <c r="DH123" s="10">
        <f t="shared" si="7"/>
        <v>35000</v>
      </c>
      <c r="DL123" t="s">
        <v>391</v>
      </c>
      <c r="DM123">
        <v>12</v>
      </c>
      <c r="DN123" s="10">
        <v>25000</v>
      </c>
      <c r="DO123" s="10">
        <f t="shared" ref="DO123:DO125" si="8">DM123*DN123</f>
        <v>300000</v>
      </c>
      <c r="DS123">
        <v>0.4</v>
      </c>
      <c r="DT123">
        <f>DV39+DV43</f>
        <v>777</v>
      </c>
      <c r="DW123" s="10"/>
    </row>
    <row r="124" spans="2:135" x14ac:dyDescent="0.25">
      <c r="H124" s="5" t="s">
        <v>216</v>
      </c>
      <c r="I124" s="5"/>
      <c r="J124" s="16"/>
      <c r="K124" s="15"/>
      <c r="L124" s="5"/>
      <c r="M124" s="7"/>
      <c r="P124" s="6"/>
      <c r="Q124" s="24">
        <f>SUM(Q120:Q123)</f>
        <v>11793</v>
      </c>
      <c r="R124" s="13">
        <v>22</v>
      </c>
      <c r="S124" s="14">
        <f>Q124-(R124*35)</f>
        <v>11023</v>
      </c>
      <c r="T124" s="6">
        <v>5400</v>
      </c>
      <c r="U124" s="25">
        <f>T124*S124</f>
        <v>59524200</v>
      </c>
      <c r="V124" s="2"/>
      <c r="W124" s="2"/>
      <c r="X124" s="5">
        <v>0.7</v>
      </c>
      <c r="Y124" s="22">
        <f>AA36</f>
        <v>656</v>
      </c>
      <c r="Z124" s="16"/>
      <c r="AA124" s="15"/>
      <c r="AB124" s="5"/>
      <c r="AC124" s="5"/>
      <c r="AF124" s="6"/>
      <c r="AG124" s="28"/>
      <c r="AH124" s="13"/>
      <c r="AI124" s="14"/>
      <c r="AJ124" s="6"/>
      <c r="AK124" s="25">
        <f>SUM(AK114,AK122)</f>
        <v>139042400</v>
      </c>
      <c r="AM124" s="6"/>
      <c r="AN124" s="24">
        <f>SUM(AN120:AN123)</f>
        <v>10780</v>
      </c>
      <c r="AO124" s="13">
        <v>25</v>
      </c>
      <c r="AP124" s="14">
        <f>AN124-(AO124*35)</f>
        <v>9905</v>
      </c>
      <c r="AQ124" s="6">
        <v>5800</v>
      </c>
      <c r="AR124" s="25">
        <f>AQ124*AP124</f>
        <v>57449000</v>
      </c>
      <c r="AT124" s="5">
        <v>0.28000000000000003</v>
      </c>
      <c r="AU124" s="26">
        <f>AW56</f>
        <v>5852</v>
      </c>
      <c r="AV124" s="16"/>
      <c r="AW124" s="15"/>
      <c r="AX124" s="5"/>
      <c r="AY124" s="5"/>
      <c r="BA124" s="6"/>
      <c r="BB124" s="28"/>
      <c r="BC124" s="13"/>
      <c r="BD124" s="14"/>
      <c r="BE124" s="6"/>
      <c r="BF124" s="25"/>
      <c r="DE124" t="s">
        <v>143</v>
      </c>
      <c r="DF124">
        <v>600</v>
      </c>
      <c r="DG124" s="10">
        <v>300</v>
      </c>
      <c r="DH124" s="10">
        <f t="shared" si="7"/>
        <v>180000</v>
      </c>
      <c r="DL124" t="s">
        <v>143</v>
      </c>
      <c r="DM124">
        <v>900</v>
      </c>
      <c r="DN124" s="10">
        <v>300</v>
      </c>
      <c r="DO124" s="10">
        <f t="shared" si="8"/>
        <v>270000</v>
      </c>
      <c r="DS124">
        <v>0.28000000000000003</v>
      </c>
      <c r="DT124">
        <f>DV58</f>
        <v>12392</v>
      </c>
      <c r="DW124" s="10"/>
      <c r="EB124" s="2" t="s">
        <v>217</v>
      </c>
    </row>
    <row r="125" spans="2:135" x14ac:dyDescent="0.25">
      <c r="H125" s="5">
        <v>0.28000000000000003</v>
      </c>
      <c r="I125" s="26">
        <f>K53</f>
        <v>4862</v>
      </c>
      <c r="J125" s="16"/>
      <c r="K125" s="15"/>
      <c r="L125" s="5"/>
      <c r="M125" s="7"/>
      <c r="P125" s="5"/>
      <c r="Q125" s="5"/>
      <c r="R125" s="16"/>
      <c r="S125" s="15"/>
      <c r="T125" s="5"/>
      <c r="U125" s="5"/>
      <c r="X125" s="6"/>
      <c r="Y125" s="24">
        <f>SUM(Y121:Y124)</f>
        <v>13391</v>
      </c>
      <c r="Z125" s="13">
        <v>24</v>
      </c>
      <c r="AA125" s="14">
        <f>Y125-(Z125*35)</f>
        <v>12551</v>
      </c>
      <c r="AB125" s="6">
        <v>5400</v>
      </c>
      <c r="AC125" s="25">
        <f>AB125*AA125</f>
        <v>67775400</v>
      </c>
      <c r="AG125" s="17"/>
      <c r="AH125" s="18"/>
      <c r="AI125" s="19"/>
      <c r="AM125" s="5"/>
      <c r="AN125" s="5"/>
      <c r="AO125" s="16"/>
      <c r="AP125" s="15">
        <v>7900</v>
      </c>
      <c r="AQ125" s="5"/>
      <c r="AR125" s="5"/>
      <c r="AT125" s="5">
        <v>0.24</v>
      </c>
      <c r="AU125" s="27">
        <f>AW81</f>
        <v>15213</v>
      </c>
      <c r="AV125" s="16"/>
      <c r="AW125" s="15"/>
      <c r="AX125" s="5"/>
      <c r="AY125" s="5"/>
      <c r="BA125" s="6"/>
      <c r="BB125" s="28"/>
      <c r="BC125" s="13"/>
      <c r="BD125" s="14"/>
      <c r="BE125" s="6"/>
      <c r="BF125" s="25">
        <f>SUM(BF115,BF123)</f>
        <v>169660200</v>
      </c>
      <c r="DE125" t="s">
        <v>141</v>
      </c>
      <c r="DF125">
        <v>12</v>
      </c>
      <c r="DG125" s="10">
        <v>4500</v>
      </c>
      <c r="DH125" s="10">
        <f t="shared" si="7"/>
        <v>54000</v>
      </c>
      <c r="DL125" t="s">
        <v>355</v>
      </c>
      <c r="DM125">
        <v>43</v>
      </c>
      <c r="DN125" s="10">
        <v>58500</v>
      </c>
      <c r="DO125" s="10">
        <f t="shared" si="8"/>
        <v>2515500</v>
      </c>
      <c r="DS125">
        <v>0.24</v>
      </c>
      <c r="DT125">
        <f>DV77</f>
        <v>24387</v>
      </c>
      <c r="DW125" s="10"/>
      <c r="DZ125" t="s">
        <v>404</v>
      </c>
      <c r="EB125">
        <v>7</v>
      </c>
      <c r="EC125">
        <v>40000</v>
      </c>
      <c r="ED125">
        <f>EB125*EC125</f>
        <v>280000</v>
      </c>
    </row>
    <row r="126" spans="2:135" x14ac:dyDescent="0.25">
      <c r="H126" s="5">
        <v>0.24</v>
      </c>
      <c r="I126" s="27">
        <f>K90</f>
        <v>39966</v>
      </c>
      <c r="J126" s="16"/>
      <c r="K126" s="15"/>
      <c r="L126" s="5"/>
      <c r="M126" s="7"/>
      <c r="P126" s="5" t="s">
        <v>216</v>
      </c>
      <c r="Q126" s="5"/>
      <c r="R126" s="16"/>
      <c r="S126" s="15"/>
      <c r="T126" s="5"/>
      <c r="U126" s="5"/>
      <c r="X126" s="5"/>
      <c r="Y126" s="5"/>
      <c r="Z126" s="16"/>
      <c r="AB126" s="5"/>
      <c r="AC126" s="5"/>
      <c r="AG126" s="17"/>
      <c r="AH126" s="18"/>
      <c r="AI126" s="19"/>
      <c r="AM126" s="5" t="s">
        <v>216</v>
      </c>
      <c r="AN126" s="5"/>
      <c r="AO126" s="16"/>
      <c r="AP126" s="15"/>
      <c r="AQ126" s="5"/>
      <c r="AR126" s="5"/>
      <c r="AT126" s="5">
        <v>0.22</v>
      </c>
      <c r="AU126" s="27">
        <f>AW88</f>
        <v>9868</v>
      </c>
      <c r="AV126" s="16"/>
      <c r="AW126" s="15"/>
      <c r="AX126" s="5"/>
      <c r="AY126" s="5"/>
      <c r="DE126" t="s">
        <v>144</v>
      </c>
      <c r="DF126">
        <v>700</v>
      </c>
      <c r="DG126" s="10">
        <v>300</v>
      </c>
      <c r="DH126" s="10">
        <f t="shared" si="7"/>
        <v>210000</v>
      </c>
      <c r="DN126" s="10"/>
      <c r="DO126" s="10"/>
      <c r="DQ126" s="9">
        <f>SUM(DO122:DO125)</f>
        <v>3465500</v>
      </c>
      <c r="DS126">
        <v>0.22</v>
      </c>
      <c r="DT126">
        <f>DV87</f>
        <v>7874</v>
      </c>
      <c r="DW126" s="10"/>
      <c r="DZ126" t="s">
        <v>355</v>
      </c>
      <c r="EB126">
        <v>17</v>
      </c>
      <c r="EC126">
        <v>58500</v>
      </c>
      <c r="ED126">
        <f t="shared" ref="ED126:ED132" si="9">EB126*EC126</f>
        <v>994500</v>
      </c>
    </row>
    <row r="127" spans="2:135" x14ac:dyDescent="0.25">
      <c r="H127" s="5">
        <v>0.22</v>
      </c>
      <c r="I127" s="27">
        <f>K96</f>
        <v>3438</v>
      </c>
      <c r="J127" s="16"/>
      <c r="K127" s="15"/>
      <c r="L127" s="5"/>
      <c r="M127" s="7"/>
      <c r="P127" s="5">
        <v>0.28000000000000003</v>
      </c>
      <c r="Q127" s="26">
        <f>S45</f>
        <v>7862</v>
      </c>
      <c r="R127" s="16"/>
      <c r="S127" s="15"/>
      <c r="T127" s="5"/>
      <c r="U127" s="5"/>
      <c r="X127" s="5" t="s">
        <v>216</v>
      </c>
      <c r="Y127" s="5"/>
      <c r="Z127" s="16"/>
      <c r="AA127" s="15"/>
      <c r="AB127" s="5"/>
      <c r="AC127" s="5"/>
      <c r="AF127" s="5" t="s">
        <v>217</v>
      </c>
      <c r="AG127" s="16"/>
      <c r="AH127" s="11"/>
      <c r="AI127" s="15"/>
      <c r="AM127" s="5">
        <v>0.28000000000000003</v>
      </c>
      <c r="AN127" s="26">
        <f>AP53</f>
        <v>6793</v>
      </c>
      <c r="AO127" s="16"/>
      <c r="AP127" s="15"/>
      <c r="AQ127" s="5"/>
      <c r="AR127" s="5"/>
      <c r="AT127" s="5">
        <v>0.2</v>
      </c>
      <c r="AU127" s="27">
        <f>AW104</f>
        <v>14614</v>
      </c>
      <c r="AV127" s="16"/>
      <c r="AW127" s="15"/>
      <c r="AX127" s="5"/>
      <c r="AY127" s="5"/>
      <c r="BB127" s="17"/>
      <c r="BC127" s="18"/>
      <c r="BD127" s="19"/>
      <c r="DG127" s="10"/>
      <c r="DH127" s="10">
        <f>SUM(DH121:DH126)</f>
        <v>4737000</v>
      </c>
      <c r="DS127">
        <v>0.2</v>
      </c>
      <c r="DT127">
        <f>DV105</f>
        <v>30009</v>
      </c>
      <c r="DW127" s="10"/>
      <c r="DZ127" t="s">
        <v>144</v>
      </c>
      <c r="EB127">
        <v>600</v>
      </c>
      <c r="EC127">
        <v>300</v>
      </c>
      <c r="ED127">
        <f t="shared" si="9"/>
        <v>180000</v>
      </c>
    </row>
    <row r="128" spans="2:135" x14ac:dyDescent="0.25">
      <c r="H128" s="5">
        <v>0.2</v>
      </c>
      <c r="I128" s="27">
        <f>K112</f>
        <v>12828</v>
      </c>
      <c r="J128" s="16"/>
      <c r="K128" s="15"/>
      <c r="L128" s="5"/>
      <c r="M128" s="7"/>
      <c r="P128" s="5">
        <v>0.24</v>
      </c>
      <c r="Q128" s="27">
        <f>S82</f>
        <v>40580</v>
      </c>
      <c r="R128" s="16"/>
      <c r="S128" s="15"/>
      <c r="T128" s="5"/>
      <c r="U128" s="5"/>
      <c r="X128" s="5">
        <v>0.28000000000000003</v>
      </c>
      <c r="Y128" s="26">
        <f>AA48</f>
        <v>7049</v>
      </c>
      <c r="Z128" s="16"/>
      <c r="AA128" s="15"/>
      <c r="AB128" s="5"/>
      <c r="AC128" s="5"/>
      <c r="AF128" s="5" t="s">
        <v>136</v>
      </c>
      <c r="AG128" s="16" t="s">
        <v>137</v>
      </c>
      <c r="AH128" s="11" t="s">
        <v>138</v>
      </c>
      <c r="AI128" s="15" t="s">
        <v>139</v>
      </c>
      <c r="AM128" s="5">
        <v>0.24</v>
      </c>
      <c r="AN128" s="27">
        <f>AP82</f>
        <v>21242</v>
      </c>
      <c r="AO128" s="16"/>
      <c r="AP128" s="15"/>
      <c r="AQ128" s="5"/>
      <c r="AR128" s="5"/>
      <c r="AT128" s="5">
        <v>0.18</v>
      </c>
      <c r="AU128" s="27">
        <f>AW106</f>
        <v>2452</v>
      </c>
      <c r="AV128" s="16"/>
      <c r="AW128" s="15"/>
      <c r="AX128" s="5"/>
      <c r="AY128" s="5"/>
      <c r="BA128" s="5" t="s">
        <v>217</v>
      </c>
      <c r="BB128" s="16"/>
      <c r="BC128" s="11"/>
      <c r="BD128" s="15"/>
      <c r="BG128" s="33"/>
      <c r="DJ128" s="9">
        <f>DJ105+DJ114+DH127</f>
        <v>162596190</v>
      </c>
      <c r="DK128" s="9"/>
      <c r="DQ128" s="9">
        <f>SUM(DQ108:DQ126)</f>
        <v>162871360</v>
      </c>
      <c r="DS128">
        <v>0.18</v>
      </c>
      <c r="DT128">
        <f>DV112</f>
        <v>6423</v>
      </c>
      <c r="DW128" s="10"/>
      <c r="DZ128" t="s">
        <v>143</v>
      </c>
      <c r="EB128">
        <v>2000</v>
      </c>
      <c r="EC128">
        <v>300</v>
      </c>
      <c r="ED128">
        <f t="shared" si="9"/>
        <v>600000</v>
      </c>
    </row>
    <row r="129" spans="8:135" x14ac:dyDescent="0.25">
      <c r="H129" s="5">
        <v>0.18</v>
      </c>
      <c r="I129" s="27">
        <v>0</v>
      </c>
      <c r="J129" s="16"/>
      <c r="K129" s="15"/>
      <c r="L129" s="5"/>
      <c r="M129" s="7"/>
      <c r="P129" s="5">
        <v>0.22</v>
      </c>
      <c r="Q129" s="27">
        <f>S90</f>
        <v>16186</v>
      </c>
      <c r="R129" s="16"/>
      <c r="S129" s="15"/>
      <c r="T129" s="5"/>
      <c r="U129" s="5"/>
      <c r="X129" s="5">
        <v>0.24</v>
      </c>
      <c r="Y129" s="27">
        <f>AA83</f>
        <v>37319</v>
      </c>
      <c r="Z129" s="16"/>
      <c r="AA129" s="15"/>
      <c r="AB129" s="5"/>
      <c r="AC129" s="5"/>
      <c r="AD129" s="2"/>
      <c r="AF129" s="5" t="s">
        <v>140</v>
      </c>
      <c r="AG129" s="16">
        <v>5</v>
      </c>
      <c r="AH129" s="29">
        <v>39000</v>
      </c>
      <c r="AI129" s="30">
        <f>AG129*AH129</f>
        <v>195000</v>
      </c>
      <c r="AL129" s="2"/>
      <c r="AM129" s="5">
        <v>0.22</v>
      </c>
      <c r="AN129" s="27">
        <f>AP89</f>
        <v>10036</v>
      </c>
      <c r="AO129" s="16"/>
      <c r="AP129" s="15"/>
      <c r="AQ129" s="5"/>
      <c r="AR129" s="5"/>
      <c r="AT129" s="6"/>
      <c r="AU129" s="28">
        <f>SUM(AU124:AU128)</f>
        <v>47999</v>
      </c>
      <c r="AV129" s="13">
        <v>43</v>
      </c>
      <c r="AW129" s="14">
        <f>AU129-(AV129*60)</f>
        <v>45419</v>
      </c>
      <c r="AX129" s="6">
        <v>2150</v>
      </c>
      <c r="AY129" s="25">
        <f>AX129*AW129</f>
        <v>97650850</v>
      </c>
      <c r="AZ129" s="33"/>
      <c r="BA129" s="5" t="s">
        <v>136</v>
      </c>
      <c r="BB129" s="16" t="s">
        <v>137</v>
      </c>
      <c r="BC129" s="11" t="s">
        <v>138</v>
      </c>
      <c r="BD129" s="15" t="s">
        <v>139</v>
      </c>
      <c r="BG129" s="33"/>
      <c r="DT129">
        <f>SUM(DT123:DT128)</f>
        <v>81862</v>
      </c>
      <c r="DU129">
        <v>51</v>
      </c>
      <c r="DV129">
        <f>DT129-(DU129*60)</f>
        <v>78802</v>
      </c>
      <c r="DW129" s="10">
        <v>1850</v>
      </c>
      <c r="DX129" s="10">
        <f>DV129*DW129</f>
        <v>145783700</v>
      </c>
      <c r="DZ129" t="s">
        <v>142</v>
      </c>
      <c r="EB129">
        <v>1</v>
      </c>
      <c r="EC129">
        <v>25000</v>
      </c>
      <c r="ED129">
        <f t="shared" si="9"/>
        <v>25000</v>
      </c>
    </row>
    <row r="130" spans="8:135" x14ac:dyDescent="0.25">
      <c r="H130" s="6"/>
      <c r="I130" s="28">
        <f>SUM(I125:I129)</f>
        <v>61094</v>
      </c>
      <c r="J130" s="13">
        <v>44</v>
      </c>
      <c r="K130" s="14">
        <f>I130-(J130*60)</f>
        <v>58454</v>
      </c>
      <c r="L130" s="6">
        <v>1990</v>
      </c>
      <c r="M130" s="37">
        <f>L130*K130</f>
        <v>116323460</v>
      </c>
      <c r="P130" s="5">
        <v>0.2</v>
      </c>
      <c r="Q130" s="27">
        <f>S109</f>
        <v>15440</v>
      </c>
      <c r="R130" s="16"/>
      <c r="S130" s="15"/>
      <c r="T130" s="5"/>
      <c r="U130" s="5"/>
      <c r="X130" s="5">
        <v>0.22</v>
      </c>
      <c r="Y130" s="27">
        <f>AA92</f>
        <v>12998</v>
      </c>
      <c r="Z130" s="16"/>
      <c r="AA130" s="15"/>
      <c r="AB130" s="5"/>
      <c r="AC130" s="5"/>
      <c r="AF130" s="5" t="s">
        <v>141</v>
      </c>
      <c r="AG130" s="16">
        <v>14</v>
      </c>
      <c r="AH130" s="29">
        <v>4000</v>
      </c>
      <c r="AI130" s="30">
        <f t="shared" ref="AI130:AI133" si="10">AG130*AH130</f>
        <v>56000</v>
      </c>
      <c r="AM130" s="5">
        <v>0.2</v>
      </c>
      <c r="AN130" s="27">
        <f>AP107</f>
        <v>11270</v>
      </c>
      <c r="AO130" s="16"/>
      <c r="AP130" s="15"/>
      <c r="AQ130" s="5"/>
      <c r="AR130" s="5"/>
      <c r="AT130" s="6"/>
      <c r="AU130" s="28"/>
      <c r="AV130" s="13"/>
      <c r="AW130" s="14"/>
      <c r="AX130" s="6"/>
      <c r="AY130" s="25"/>
      <c r="AZ130" s="33"/>
      <c r="BA130" s="5" t="s">
        <v>140</v>
      </c>
      <c r="BB130" s="16">
        <v>8</v>
      </c>
      <c r="BC130" s="29">
        <v>39000</v>
      </c>
      <c r="BD130" s="30">
        <f>BB130*BC130</f>
        <v>312000</v>
      </c>
      <c r="BG130" s="33"/>
      <c r="DR130" s="9"/>
      <c r="DZ130" t="s">
        <v>405</v>
      </c>
      <c r="EB130">
        <v>6</v>
      </c>
      <c r="EC130">
        <v>8000</v>
      </c>
      <c r="ED130">
        <f t="shared" si="9"/>
        <v>48000</v>
      </c>
    </row>
    <row r="131" spans="8:135" x14ac:dyDescent="0.25">
      <c r="H131" s="6"/>
      <c r="I131" s="28"/>
      <c r="J131" s="13"/>
      <c r="K131" s="14"/>
      <c r="L131" s="6"/>
      <c r="M131" s="37">
        <f>SUM(M122,M130)</f>
        <v>185119460</v>
      </c>
      <c r="P131" s="5">
        <v>0.18</v>
      </c>
      <c r="Q131" s="27">
        <f>S113</f>
        <v>3194</v>
      </c>
      <c r="R131" s="16"/>
      <c r="S131" s="15"/>
      <c r="T131" s="5"/>
      <c r="U131" s="5"/>
      <c r="X131" s="5">
        <v>0.2</v>
      </c>
      <c r="Y131" s="27">
        <f>AA110</f>
        <v>7959</v>
      </c>
      <c r="Z131" s="16"/>
      <c r="AA131" s="15"/>
      <c r="AB131" s="5"/>
      <c r="AC131" s="5"/>
      <c r="AE131" s="2"/>
      <c r="AF131" s="5" t="s">
        <v>144</v>
      </c>
      <c r="AG131" s="16">
        <v>1200</v>
      </c>
      <c r="AH131" s="29">
        <v>260</v>
      </c>
      <c r="AI131" s="30">
        <f t="shared" si="10"/>
        <v>312000</v>
      </c>
      <c r="AM131" s="5">
        <v>0.18</v>
      </c>
      <c r="AN131" s="27">
        <f>AP109</f>
        <v>3382</v>
      </c>
      <c r="AO131" s="16"/>
      <c r="AP131" s="15"/>
      <c r="AQ131" s="5"/>
      <c r="AR131" s="5"/>
      <c r="AT131" s="6"/>
      <c r="AU131" s="28"/>
      <c r="AV131" s="13"/>
      <c r="AW131" s="14"/>
      <c r="AX131" s="6"/>
      <c r="AY131" s="25">
        <f>SUM(AY121,AY129)</f>
        <v>182736850</v>
      </c>
      <c r="AZ131" s="33"/>
      <c r="BA131" s="5" t="s">
        <v>141</v>
      </c>
      <c r="BB131" s="16">
        <v>24</v>
      </c>
      <c r="BC131" s="29">
        <v>4000</v>
      </c>
      <c r="BD131" s="30">
        <f t="shared" ref="BD131:BD134" si="11">BB131*BC131</f>
        <v>96000</v>
      </c>
      <c r="DU131" t="s">
        <v>397</v>
      </c>
      <c r="DZ131" t="s">
        <v>406</v>
      </c>
      <c r="EB131">
        <v>5</v>
      </c>
      <c r="ED131">
        <f t="shared" si="9"/>
        <v>0</v>
      </c>
    </row>
    <row r="132" spans="8:135" x14ac:dyDescent="0.25">
      <c r="P132" s="6"/>
      <c r="Q132" s="28">
        <f>SUM(Q127:Q131)</f>
        <v>83262</v>
      </c>
      <c r="R132" s="13">
        <v>50</v>
      </c>
      <c r="S132" s="14">
        <f>Q132-(R132*60)</f>
        <v>80262</v>
      </c>
      <c r="T132" s="6">
        <v>1990</v>
      </c>
      <c r="U132" s="25">
        <f>T132*S132</f>
        <v>159721380</v>
      </c>
      <c r="V132" s="2"/>
      <c r="W132" s="2"/>
      <c r="X132" s="5">
        <v>0.18</v>
      </c>
      <c r="Y132" s="27">
        <f>AA114</f>
        <v>2779</v>
      </c>
      <c r="Z132" s="16"/>
      <c r="AA132" s="15"/>
      <c r="AB132" s="5"/>
      <c r="AC132" s="5"/>
      <c r="AE132" s="2"/>
      <c r="AF132" s="5" t="s">
        <v>142</v>
      </c>
      <c r="AG132" s="16">
        <v>19</v>
      </c>
      <c r="AH132" s="29">
        <v>2000</v>
      </c>
      <c r="AI132" s="30">
        <f t="shared" si="10"/>
        <v>38000</v>
      </c>
      <c r="AM132" s="6"/>
      <c r="AN132" s="28">
        <f>SUM(AN127:AN131)</f>
        <v>52723</v>
      </c>
      <c r="AO132" s="13">
        <v>43</v>
      </c>
      <c r="AP132" s="14">
        <f>AN132-(AO132*60)</f>
        <v>50143</v>
      </c>
      <c r="AQ132" s="6">
        <v>2150</v>
      </c>
      <c r="AR132" s="25">
        <f>AQ132*AP132</f>
        <v>107807450</v>
      </c>
      <c r="BA132" s="5" t="s">
        <v>144</v>
      </c>
      <c r="BB132" s="16">
        <v>120</v>
      </c>
      <c r="BC132" s="29">
        <v>260</v>
      </c>
      <c r="BD132" s="30">
        <f t="shared" si="11"/>
        <v>31200</v>
      </c>
      <c r="DR132" s="9"/>
      <c r="DS132" t="s">
        <v>398</v>
      </c>
      <c r="DT132">
        <v>0</v>
      </c>
      <c r="DZ132" t="s">
        <v>407</v>
      </c>
      <c r="EB132">
        <v>10</v>
      </c>
      <c r="EC132">
        <v>11000</v>
      </c>
      <c r="ED132">
        <f t="shared" si="9"/>
        <v>110000</v>
      </c>
    </row>
    <row r="133" spans="8:135" x14ac:dyDescent="0.25">
      <c r="H133" t="s">
        <v>217</v>
      </c>
      <c r="P133" s="6"/>
      <c r="Q133" s="28"/>
      <c r="R133" s="13"/>
      <c r="S133" s="14"/>
      <c r="T133" s="6"/>
      <c r="U133" s="25"/>
      <c r="V133" s="2"/>
      <c r="W133" s="2"/>
      <c r="X133" s="6"/>
      <c r="Y133" s="28">
        <f>SUM(Y128:Y132)</f>
        <v>68104</v>
      </c>
      <c r="Z133" s="13">
        <v>48</v>
      </c>
      <c r="AA133" s="14">
        <f>Y133-(Z133*60)</f>
        <v>65224</v>
      </c>
      <c r="AB133" s="6">
        <v>1990</v>
      </c>
      <c r="AC133" s="25">
        <f>AB133*AA133</f>
        <v>129795760</v>
      </c>
      <c r="AF133" s="5" t="s">
        <v>143</v>
      </c>
      <c r="AG133" s="16">
        <v>300</v>
      </c>
      <c r="AH133" s="29">
        <v>250</v>
      </c>
      <c r="AI133" s="30">
        <f t="shared" si="10"/>
        <v>75000</v>
      </c>
      <c r="AM133" s="6"/>
      <c r="AN133" s="28"/>
      <c r="AO133" s="13"/>
      <c r="AP133" s="14">
        <v>8563</v>
      </c>
      <c r="AQ133" s="6"/>
      <c r="AR133" s="25"/>
      <c r="AU133" s="17"/>
      <c r="AV133" s="18"/>
      <c r="AW133" s="19"/>
      <c r="BA133" s="5" t="s">
        <v>142</v>
      </c>
      <c r="BB133" s="16">
        <v>15</v>
      </c>
      <c r="BC133" s="29">
        <v>2000</v>
      </c>
      <c r="BD133" s="30">
        <f t="shared" si="11"/>
        <v>30000</v>
      </c>
      <c r="DS133" t="s">
        <v>399</v>
      </c>
      <c r="DT133">
        <v>226.5</v>
      </c>
      <c r="ED133">
        <f>SUM(ED125:ED132)</f>
        <v>2237500</v>
      </c>
      <c r="EE133" s="10">
        <f>ED133</f>
        <v>2237500</v>
      </c>
    </row>
    <row r="134" spans="8:135" x14ac:dyDescent="0.25">
      <c r="H134" t="s">
        <v>229</v>
      </c>
      <c r="I134">
        <v>250</v>
      </c>
      <c r="P134" s="6"/>
      <c r="Q134" s="28"/>
      <c r="R134" s="13"/>
      <c r="S134" s="14"/>
      <c r="T134" s="6"/>
      <c r="U134" s="25">
        <f>SUM(U124,U132)</f>
        <v>219245580</v>
      </c>
      <c r="V134" s="2"/>
      <c r="X134" s="6"/>
      <c r="Y134" s="28"/>
      <c r="Z134" s="13"/>
      <c r="AA134" s="14"/>
      <c r="AB134" s="6"/>
      <c r="AC134" s="25"/>
      <c r="AF134" s="6"/>
      <c r="AG134" s="13"/>
      <c r="AH134" s="12"/>
      <c r="AI134" s="14">
        <f>SUM(AI129:AI133)</f>
        <v>676000</v>
      </c>
      <c r="AJ134" s="2"/>
      <c r="AK134" s="2"/>
      <c r="AM134" s="6"/>
      <c r="AN134" s="28"/>
      <c r="AO134" s="13"/>
      <c r="AP134" s="14"/>
      <c r="AQ134" s="6"/>
      <c r="AR134" s="25">
        <f>SUM(AR124,AR132)</f>
        <v>165256450</v>
      </c>
      <c r="AT134" s="5" t="s">
        <v>217</v>
      </c>
      <c r="AU134" s="16"/>
      <c r="AV134" s="11"/>
      <c r="AW134" s="15"/>
      <c r="BA134" s="5" t="s">
        <v>143</v>
      </c>
      <c r="BB134" s="16">
        <v>70</v>
      </c>
      <c r="BC134" s="29">
        <v>250</v>
      </c>
      <c r="BD134" s="30">
        <f t="shared" si="11"/>
        <v>17500</v>
      </c>
      <c r="DS134" t="s">
        <v>400</v>
      </c>
      <c r="DT134">
        <v>91</v>
      </c>
    </row>
    <row r="135" spans="8:135" x14ac:dyDescent="0.25">
      <c r="Q135" s="17"/>
      <c r="R135" s="18"/>
      <c r="S135" s="19"/>
      <c r="X135" s="6"/>
      <c r="Y135" s="28"/>
      <c r="Z135" s="13"/>
      <c r="AA135" s="14"/>
      <c r="AB135" s="6"/>
      <c r="AC135" s="25">
        <f>SUM(AC125,AC133)</f>
        <v>197571160</v>
      </c>
      <c r="AF135" s="2"/>
      <c r="AG135" s="31"/>
      <c r="AH135" s="4"/>
      <c r="AI135" s="32"/>
      <c r="AJ135" s="2" t="s">
        <v>218</v>
      </c>
      <c r="AK135" s="33">
        <f>AK124+AI134</f>
        <v>139718400</v>
      </c>
      <c r="AT135" s="5" t="s">
        <v>136</v>
      </c>
      <c r="AU135" s="16" t="s">
        <v>137</v>
      </c>
      <c r="AV135" s="11" t="s">
        <v>138</v>
      </c>
      <c r="AW135" s="15" t="s">
        <v>139</v>
      </c>
      <c r="BA135" s="6"/>
      <c r="BB135" s="13"/>
      <c r="BC135" s="12"/>
      <c r="BD135" s="14">
        <f>SUM(BD130:BD134)</f>
        <v>486700</v>
      </c>
      <c r="BE135" s="2"/>
      <c r="BF135" s="2"/>
      <c r="DS135" t="s">
        <v>401</v>
      </c>
      <c r="DT135">
        <v>50</v>
      </c>
    </row>
    <row r="136" spans="8:135" x14ac:dyDescent="0.25">
      <c r="Q136" s="17"/>
      <c r="R136" s="18"/>
      <c r="S136" s="19"/>
      <c r="Y136" s="17"/>
      <c r="Z136" s="18"/>
      <c r="AA136" s="19"/>
      <c r="AG136" s="17"/>
      <c r="AH136" s="18"/>
      <c r="AI136" s="19"/>
      <c r="AN136" s="17"/>
      <c r="AO136" s="18"/>
      <c r="AP136" s="19"/>
      <c r="AT136" s="5" t="s">
        <v>140</v>
      </c>
      <c r="AU136" s="16">
        <v>10</v>
      </c>
      <c r="AV136" s="29">
        <v>39000</v>
      </c>
      <c r="AW136" s="30">
        <f>AU136*AV136</f>
        <v>390000</v>
      </c>
      <c r="BA136" s="2"/>
      <c r="BB136" s="31"/>
      <c r="BC136" s="4"/>
      <c r="BD136" s="32"/>
      <c r="BE136" s="2" t="s">
        <v>218</v>
      </c>
      <c r="BF136" s="33">
        <f>BF125+BD135</f>
        <v>170146900</v>
      </c>
      <c r="DT136">
        <f>SUM(DT132:DT135)</f>
        <v>367.5</v>
      </c>
      <c r="DU136">
        <v>4900</v>
      </c>
      <c r="DX136" s="10">
        <f>DT136*DU136</f>
        <v>1800750</v>
      </c>
      <c r="EE136" s="9">
        <f>SUM(EE106:EE133)</f>
        <v>152704600</v>
      </c>
    </row>
    <row r="137" spans="8:135" x14ac:dyDescent="0.25">
      <c r="P137" s="5" t="s">
        <v>217</v>
      </c>
      <c r="Q137" s="16"/>
      <c r="R137" s="11"/>
      <c r="S137" s="15"/>
      <c r="Y137" s="17"/>
      <c r="Z137" s="18"/>
      <c r="AA137" s="19"/>
      <c r="AM137" s="5" t="s">
        <v>217</v>
      </c>
      <c r="AN137" s="16"/>
      <c r="AO137" s="11"/>
      <c r="AP137" s="15"/>
      <c r="AT137" s="5" t="s">
        <v>141</v>
      </c>
      <c r="AU137" s="16">
        <v>14</v>
      </c>
      <c r="AV137" s="29">
        <v>4000</v>
      </c>
      <c r="AW137" s="30">
        <f t="shared" ref="AW137:AW140" si="12">AU137*AV137</f>
        <v>56000</v>
      </c>
    </row>
    <row r="138" spans="8:135" x14ac:dyDescent="0.25">
      <c r="P138" s="5" t="s">
        <v>136</v>
      </c>
      <c r="Q138" s="16" t="s">
        <v>137</v>
      </c>
      <c r="R138" s="11" t="s">
        <v>138</v>
      </c>
      <c r="S138" s="15" t="s">
        <v>139</v>
      </c>
      <c r="X138" s="5" t="s">
        <v>217</v>
      </c>
      <c r="Y138" s="16"/>
      <c r="Z138" s="11"/>
      <c r="AA138" s="15"/>
      <c r="AL138" s="2"/>
      <c r="AM138" s="5" t="s">
        <v>136</v>
      </c>
      <c r="AN138" s="16" t="s">
        <v>137</v>
      </c>
      <c r="AO138" s="11" t="s">
        <v>138</v>
      </c>
      <c r="AP138" s="15" t="s">
        <v>139</v>
      </c>
      <c r="AT138" s="5" t="s">
        <v>144</v>
      </c>
      <c r="AU138" s="16">
        <v>120</v>
      </c>
      <c r="AV138" s="29">
        <v>260</v>
      </c>
      <c r="AW138" s="30">
        <f t="shared" si="12"/>
        <v>31200</v>
      </c>
    </row>
    <row r="139" spans="8:135" x14ac:dyDescent="0.25">
      <c r="P139" s="5" t="s">
        <v>140</v>
      </c>
      <c r="Q139" s="16">
        <v>11</v>
      </c>
      <c r="R139" s="29">
        <v>43000</v>
      </c>
      <c r="S139" s="30">
        <f>Q139*R139</f>
        <v>473000</v>
      </c>
      <c r="X139" s="5" t="s">
        <v>136</v>
      </c>
      <c r="Y139" s="16" t="s">
        <v>137</v>
      </c>
      <c r="Z139" s="11" t="s">
        <v>138</v>
      </c>
      <c r="AA139" s="15" t="s">
        <v>139</v>
      </c>
      <c r="AD139" s="2"/>
      <c r="AM139" s="5" t="s">
        <v>140</v>
      </c>
      <c r="AN139" s="16">
        <v>5</v>
      </c>
      <c r="AO139" s="29">
        <v>39000</v>
      </c>
      <c r="AP139" s="30">
        <f>AN139*AO139</f>
        <v>195000</v>
      </c>
      <c r="AT139" s="5" t="s">
        <v>142</v>
      </c>
      <c r="AU139" s="16">
        <v>17</v>
      </c>
      <c r="AV139" s="29">
        <v>2000</v>
      </c>
      <c r="AW139" s="30">
        <f t="shared" si="12"/>
        <v>34000</v>
      </c>
    </row>
    <row r="140" spans="8:135" x14ac:dyDescent="0.25">
      <c r="P140" s="5" t="s">
        <v>141</v>
      </c>
      <c r="Q140" s="16">
        <v>1</v>
      </c>
      <c r="R140" s="29">
        <v>45000</v>
      </c>
      <c r="S140" s="30">
        <f t="shared" ref="S140:S142" si="13">Q140*R140</f>
        <v>45000</v>
      </c>
      <c r="X140" s="5" t="s">
        <v>140</v>
      </c>
      <c r="Y140" s="16">
        <v>9</v>
      </c>
      <c r="Z140" s="29">
        <v>42000</v>
      </c>
      <c r="AA140" s="30">
        <f>Y140*Z140</f>
        <v>378000</v>
      </c>
      <c r="AM140" s="5" t="s">
        <v>141</v>
      </c>
      <c r="AN140" s="16">
        <v>9</v>
      </c>
      <c r="AO140" s="29">
        <v>4000</v>
      </c>
      <c r="AP140" s="30">
        <f t="shared" ref="AP140:AP143" si="14">AN140*AO140</f>
        <v>36000</v>
      </c>
      <c r="AT140" s="5" t="s">
        <v>143</v>
      </c>
      <c r="AU140" s="16">
        <v>70</v>
      </c>
      <c r="AV140" s="29">
        <v>250</v>
      </c>
      <c r="AW140" s="30">
        <f t="shared" si="12"/>
        <v>17500</v>
      </c>
      <c r="DU140" t="s">
        <v>217</v>
      </c>
    </row>
    <row r="141" spans="8:135" x14ac:dyDescent="0.25">
      <c r="P141" s="5" t="s">
        <v>144</v>
      </c>
      <c r="Q141" s="16">
        <v>60</v>
      </c>
      <c r="R141" s="29">
        <v>260</v>
      </c>
      <c r="S141" s="30">
        <f t="shared" si="13"/>
        <v>15600</v>
      </c>
      <c r="X141" s="5" t="s">
        <v>141</v>
      </c>
      <c r="Y141" s="16">
        <v>22</v>
      </c>
      <c r="Z141" s="29">
        <v>4000</v>
      </c>
      <c r="AA141" s="30">
        <f t="shared" ref="AA141:AA143" si="15">Y141*Z141</f>
        <v>88000</v>
      </c>
      <c r="AM141" s="5" t="s">
        <v>144</v>
      </c>
      <c r="AN141" s="16">
        <v>500</v>
      </c>
      <c r="AO141" s="29">
        <v>260</v>
      </c>
      <c r="AP141" s="30">
        <f t="shared" si="14"/>
        <v>130000</v>
      </c>
      <c r="AT141" s="6"/>
      <c r="AU141" s="13"/>
      <c r="AV141" s="12"/>
      <c r="AW141" s="14">
        <f>SUM(AW136:AW140)</f>
        <v>528700</v>
      </c>
      <c r="AX141" s="2"/>
      <c r="AY141" s="2"/>
      <c r="AZ141" s="2"/>
      <c r="DS141" t="s">
        <v>136</v>
      </c>
      <c r="DT141" t="s">
        <v>137</v>
      </c>
    </row>
    <row r="142" spans="8:135" x14ac:dyDescent="0.25">
      <c r="P142" s="5" t="s">
        <v>143</v>
      </c>
      <c r="Q142" s="16">
        <v>50</v>
      </c>
      <c r="R142" s="29">
        <v>250</v>
      </c>
      <c r="S142" s="30">
        <f t="shared" si="13"/>
        <v>12500</v>
      </c>
      <c r="W142" s="2"/>
      <c r="X142" s="5" t="s">
        <v>144</v>
      </c>
      <c r="Y142" s="16">
        <v>1500</v>
      </c>
      <c r="Z142" s="29">
        <v>260</v>
      </c>
      <c r="AA142" s="30">
        <f t="shared" si="15"/>
        <v>390000</v>
      </c>
      <c r="AM142" s="5" t="s">
        <v>142</v>
      </c>
      <c r="AN142" s="16">
        <v>14</v>
      </c>
      <c r="AO142" s="29">
        <v>2000</v>
      </c>
      <c r="AP142" s="30">
        <f t="shared" si="14"/>
        <v>28000</v>
      </c>
      <c r="AT142" s="2"/>
      <c r="AU142" s="31"/>
      <c r="AV142" s="4"/>
      <c r="AW142" s="32"/>
      <c r="AX142" s="2" t="s">
        <v>218</v>
      </c>
      <c r="AY142" s="33">
        <f>AY131+AW141</f>
        <v>183265550</v>
      </c>
      <c r="AZ142" s="33"/>
      <c r="DS142" t="s">
        <v>140</v>
      </c>
      <c r="DT142">
        <v>9.5</v>
      </c>
      <c r="DU142" s="10">
        <v>40000</v>
      </c>
      <c r="DV142" s="10">
        <f>DT142*DU142</f>
        <v>380000</v>
      </c>
    </row>
    <row r="143" spans="8:135" x14ac:dyDescent="0.25">
      <c r="P143" s="6"/>
      <c r="Q143" s="13"/>
      <c r="R143" s="12"/>
      <c r="S143" s="14">
        <f>SUM(S139:S142)</f>
        <v>546100</v>
      </c>
      <c r="T143" s="2"/>
      <c r="U143" s="2"/>
      <c r="V143" s="2"/>
      <c r="W143" s="2"/>
      <c r="X143" s="5" t="s">
        <v>143</v>
      </c>
      <c r="Y143" s="16">
        <v>20</v>
      </c>
      <c r="Z143" s="29">
        <v>250</v>
      </c>
      <c r="AA143" s="30">
        <f t="shared" si="15"/>
        <v>5000</v>
      </c>
      <c r="AL143" s="2"/>
      <c r="AM143" s="5" t="s">
        <v>143</v>
      </c>
      <c r="AN143" s="16">
        <v>150</v>
      </c>
      <c r="AO143" s="29">
        <v>250</v>
      </c>
      <c r="AP143" s="30">
        <f t="shared" si="14"/>
        <v>37500</v>
      </c>
      <c r="DS143" t="s">
        <v>391</v>
      </c>
      <c r="DT143">
        <v>12</v>
      </c>
      <c r="DU143" s="10">
        <v>3000</v>
      </c>
      <c r="DV143" s="10">
        <f t="shared" ref="DV143:DV145" si="16">DT143*DU143</f>
        <v>36000</v>
      </c>
    </row>
    <row r="144" spans="8:135" x14ac:dyDescent="0.25">
      <c r="P144" s="2"/>
      <c r="Q144" s="31"/>
      <c r="R144" s="4"/>
      <c r="S144" s="32"/>
      <c r="T144" s="2" t="s">
        <v>213</v>
      </c>
      <c r="U144" s="33">
        <f>U134+S143</f>
        <v>219791680</v>
      </c>
      <c r="V144" s="2"/>
      <c r="X144" s="6"/>
      <c r="Y144" s="13"/>
      <c r="Z144" s="12"/>
      <c r="AA144" s="14">
        <f>SUM(AA140:AA143)</f>
        <v>861000</v>
      </c>
      <c r="AB144" s="2"/>
      <c r="AC144" s="2"/>
      <c r="AD144" s="2"/>
      <c r="AL144" s="2"/>
      <c r="AM144" s="6"/>
      <c r="AN144" s="13"/>
      <c r="AO144" s="12"/>
      <c r="AP144" s="14">
        <f>SUM(AP139:AP143)</f>
        <v>426500</v>
      </c>
      <c r="AQ144" s="2"/>
      <c r="AR144" s="2"/>
      <c r="DS144" t="s">
        <v>143</v>
      </c>
      <c r="DT144">
        <v>900</v>
      </c>
      <c r="DU144" s="10">
        <v>300</v>
      </c>
      <c r="DV144" s="10">
        <f t="shared" si="16"/>
        <v>270000</v>
      </c>
    </row>
    <row r="145" spans="17:128" x14ac:dyDescent="0.25">
      <c r="Q145" s="17"/>
      <c r="R145" s="18"/>
      <c r="S145" s="19"/>
      <c r="X145" s="2"/>
      <c r="Y145" s="31"/>
      <c r="Z145" s="4"/>
      <c r="AA145" s="32"/>
      <c r="AB145" s="2" t="s">
        <v>218</v>
      </c>
      <c r="AC145" s="33">
        <f>AC135+AA144</f>
        <v>198432160</v>
      </c>
      <c r="AD145" s="2"/>
      <c r="AM145" s="2"/>
      <c r="AN145" s="31"/>
      <c r="AO145" s="4"/>
      <c r="AP145" s="32"/>
      <c r="AQ145" s="2" t="s">
        <v>218</v>
      </c>
      <c r="AR145" s="33">
        <f>AR134+AP144</f>
        <v>165682950</v>
      </c>
      <c r="DS145" t="s">
        <v>355</v>
      </c>
      <c r="DT145">
        <v>43</v>
      </c>
      <c r="DU145" s="10">
        <v>58500</v>
      </c>
      <c r="DV145" s="10">
        <f t="shared" si="16"/>
        <v>2515500</v>
      </c>
    </row>
    <row r="146" spans="17:128" x14ac:dyDescent="0.25">
      <c r="Y146" s="17"/>
      <c r="Z146" s="18"/>
      <c r="AA146" s="19"/>
      <c r="DU146" s="10"/>
      <c r="DV146" s="10"/>
      <c r="DX146" s="10">
        <f>SUM(DV142:DV145)</f>
        <v>3201500</v>
      </c>
    </row>
    <row r="148" spans="17:128" x14ac:dyDescent="0.25">
      <c r="DX148" s="10">
        <f>SUM(DX120:DX146)</f>
        <v>179392750</v>
      </c>
    </row>
  </sheetData>
  <mergeCells count="11">
    <mergeCell ref="BV1:BZ1"/>
    <mergeCell ref="B1:F1"/>
    <mergeCell ref="P1:T1"/>
    <mergeCell ref="X1:AB1"/>
    <mergeCell ref="H1:L1"/>
    <mergeCell ref="AF1:AJ1"/>
    <mergeCell ref="BO1:BS1"/>
    <mergeCell ref="BH1:BL1"/>
    <mergeCell ref="BA1:BE1"/>
    <mergeCell ref="AM1:AQ1"/>
    <mergeCell ref="AT1:AX1"/>
  </mergeCells>
  <conditionalFormatting sqref="J116:J117">
    <cfRule type="duplicateValues" dxfId="20" priority="20"/>
  </conditionalFormatting>
  <conditionalFormatting sqref="R118:R119">
    <cfRule type="duplicateValues" dxfId="19" priority="23"/>
  </conditionalFormatting>
  <conditionalFormatting sqref="R135:R145 R2:R117">
    <cfRule type="duplicateValues" dxfId="18" priority="24"/>
  </conditionalFormatting>
  <conditionalFormatting sqref="Z119:Z120">
    <cfRule type="duplicateValues" dxfId="17" priority="21"/>
  </conditionalFormatting>
  <conditionalFormatting sqref="Z136:Z146 Z114:Z118 Z2:Z112">
    <cfRule type="duplicateValues" dxfId="16" priority="22"/>
  </conditionalFormatting>
  <conditionalFormatting sqref="AH108:AH109">
    <cfRule type="duplicateValues" dxfId="15" priority="18"/>
  </conditionalFormatting>
  <conditionalFormatting sqref="AH125:AH136 AH103:AH107 AH2:AH101">
    <cfRule type="duplicateValues" dxfId="14" priority="25"/>
  </conditionalFormatting>
  <conditionalFormatting sqref="AO117">
    <cfRule type="duplicateValues" dxfId="13" priority="17"/>
  </conditionalFormatting>
  <conditionalFormatting sqref="AO118:AO119">
    <cfRule type="duplicateValues" dxfId="12" priority="16"/>
  </conditionalFormatting>
  <conditionalFormatting sqref="AO136:AO145">
    <cfRule type="duplicateValues" dxfId="11" priority="15"/>
  </conditionalFormatting>
  <conditionalFormatting sqref="AV114">
    <cfRule type="duplicateValues" dxfId="10" priority="11"/>
  </conditionalFormatting>
  <conditionalFormatting sqref="AV115:AV116">
    <cfRule type="duplicateValues" dxfId="9" priority="10"/>
  </conditionalFormatting>
  <conditionalFormatting sqref="AV133:AV142">
    <cfRule type="duplicateValues" dxfId="8" priority="9"/>
  </conditionalFormatting>
  <conditionalFormatting sqref="BC109:BC110">
    <cfRule type="duplicateValues" dxfId="7" priority="8"/>
  </conditionalFormatting>
  <conditionalFormatting sqref="BC127:BC136">
    <cfRule type="duplicateValues" dxfId="6" priority="7"/>
  </conditionalFormatting>
  <conditionalFormatting sqref="BJ87:BJ88">
    <cfRule type="duplicateValues" dxfId="5" priority="6"/>
  </conditionalFormatting>
  <conditionalFormatting sqref="BJ105:BJ114">
    <cfRule type="duplicateValues" dxfId="4" priority="5"/>
  </conditionalFormatting>
  <conditionalFormatting sqref="BQ85:BQ86">
    <cfRule type="duplicateValues" dxfId="3" priority="4"/>
  </conditionalFormatting>
  <conditionalFormatting sqref="BQ103:BQ112">
    <cfRule type="duplicateValues" dxfId="2" priority="3"/>
  </conditionalFormatting>
  <conditionalFormatting sqref="BX76:BX77">
    <cfRule type="duplicateValues" dxfId="1" priority="2"/>
  </conditionalFormatting>
  <conditionalFormatting sqref="BX94:BX10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C5AC-1728-49E4-8AF9-D8C53B2BC635}">
  <dimension ref="A1:Q28"/>
  <sheetViews>
    <sheetView tabSelected="1" zoomScale="70" zoomScaleNormal="70" workbookViewId="0">
      <selection activeCell="D13" sqref="D13"/>
    </sheetView>
  </sheetViews>
  <sheetFormatPr defaultRowHeight="15" x14ac:dyDescent="0.25"/>
  <cols>
    <col min="1" max="1" width="9.42578125" bestFit="1" customWidth="1"/>
    <col min="2" max="2" width="8.140625" customWidth="1"/>
    <col min="3" max="3" width="9.42578125" bestFit="1" customWidth="1"/>
    <col min="4" max="5" width="12.5703125" bestFit="1" customWidth="1"/>
    <col min="6" max="6" width="12" customWidth="1"/>
    <col min="7" max="7" width="2.7109375" customWidth="1"/>
    <col min="8" max="8" width="5.5703125" customWidth="1"/>
    <col min="9" max="9" width="19.42578125" bestFit="1" customWidth="1"/>
    <col min="10" max="10" width="19" bestFit="1" customWidth="1"/>
    <col min="11" max="11" width="12.28515625" bestFit="1" customWidth="1"/>
    <col min="12" max="12" width="14.85546875" bestFit="1" customWidth="1"/>
    <col min="13" max="13" width="15.28515625" bestFit="1" customWidth="1"/>
    <col min="14" max="14" width="14.85546875" bestFit="1" customWidth="1"/>
    <col min="15" max="15" width="9.42578125" bestFit="1" customWidth="1"/>
    <col min="16" max="16" width="13.28515625" bestFit="1" customWidth="1"/>
    <col min="17" max="17" width="15.42578125" bestFit="1" customWidth="1"/>
    <col min="18" max="18" width="10" bestFit="1" customWidth="1"/>
    <col min="19" max="19" width="15.28515625" bestFit="1" customWidth="1"/>
    <col min="20" max="20" width="10" bestFit="1" customWidth="1"/>
    <col min="21" max="21" width="15.28515625" bestFit="1" customWidth="1"/>
    <col min="22" max="22" width="10" bestFit="1" customWidth="1"/>
    <col min="23" max="23" width="13.5703125" bestFit="1" customWidth="1"/>
    <col min="24" max="24" width="10" bestFit="1" customWidth="1"/>
  </cols>
  <sheetData>
    <row r="1" spans="1:17" x14ac:dyDescent="0.25">
      <c r="A1" s="5"/>
      <c r="B1" s="5"/>
      <c r="C1" s="5"/>
      <c r="D1" s="5"/>
      <c r="E1" s="5"/>
      <c r="F1" s="5"/>
    </row>
    <row r="2" spans="1:17" x14ac:dyDescent="0.25">
      <c r="A2" s="5" t="s">
        <v>222</v>
      </c>
      <c r="B2" s="5"/>
      <c r="C2" s="5" t="s">
        <v>243</v>
      </c>
      <c r="D2" s="5">
        <v>6200</v>
      </c>
      <c r="E2" s="5">
        <v>400</v>
      </c>
      <c r="F2" s="5"/>
    </row>
    <row r="3" spans="1:17" x14ac:dyDescent="0.25">
      <c r="A3" s="5">
        <v>0.45</v>
      </c>
      <c r="B3" s="5"/>
      <c r="C3" s="5">
        <v>0.8</v>
      </c>
      <c r="D3" s="7">
        <f>D2*C3</f>
        <v>4960</v>
      </c>
      <c r="E3" s="7">
        <f>E2+D3</f>
        <v>5360</v>
      </c>
      <c r="F3" s="7"/>
      <c r="G3" s="10"/>
      <c r="H3" s="10"/>
      <c r="I3" s="5"/>
      <c r="J3" s="46" t="s">
        <v>261</v>
      </c>
      <c r="K3" s="46"/>
      <c r="L3" s="46" t="s">
        <v>262</v>
      </c>
      <c r="M3" s="46"/>
      <c r="N3" s="46" t="s">
        <v>263</v>
      </c>
      <c r="O3" s="46"/>
      <c r="P3" s="46" t="s">
        <v>264</v>
      </c>
      <c r="Q3" s="46"/>
    </row>
    <row r="4" spans="1:17" x14ac:dyDescent="0.25">
      <c r="A4" s="5">
        <v>0.55000000000000004</v>
      </c>
      <c r="B4" s="5"/>
      <c r="C4" s="5">
        <v>1</v>
      </c>
      <c r="D4" s="7">
        <f>D2*C4</f>
        <v>6200</v>
      </c>
      <c r="E4" s="7">
        <f>E2+D4</f>
        <v>6600</v>
      </c>
      <c r="F4" s="7"/>
      <c r="G4" s="10"/>
      <c r="H4" s="10"/>
      <c r="I4" s="5" t="s">
        <v>265</v>
      </c>
      <c r="J4" s="5"/>
      <c r="K4" s="38">
        <v>17000</v>
      </c>
      <c r="L4" s="5"/>
      <c r="M4" s="5">
        <v>25000</v>
      </c>
      <c r="N4" s="5"/>
      <c r="O4" s="5">
        <v>26000</v>
      </c>
      <c r="P4" s="5"/>
      <c r="Q4" s="5">
        <v>8250</v>
      </c>
    </row>
    <row r="5" spans="1:17" x14ac:dyDescent="0.25">
      <c r="A5" s="5"/>
      <c r="B5" s="5"/>
      <c r="C5" s="5">
        <v>0.97</v>
      </c>
      <c r="D5" s="7">
        <f>D2*C5</f>
        <v>6014</v>
      </c>
      <c r="E5" s="7">
        <f>E2+D5</f>
        <v>6414</v>
      </c>
      <c r="F5" s="7"/>
      <c r="G5" s="10"/>
      <c r="H5" s="10"/>
      <c r="I5" s="5"/>
      <c r="J5" s="5"/>
      <c r="K5" s="5"/>
      <c r="L5" s="5"/>
      <c r="M5" s="5"/>
      <c r="N5" s="5"/>
      <c r="O5" s="5"/>
      <c r="P5" s="5"/>
      <c r="Q5" s="5"/>
    </row>
    <row r="6" spans="1:17" x14ac:dyDescent="0.25">
      <c r="A6" s="5" t="s">
        <v>223</v>
      </c>
      <c r="B6" s="5"/>
      <c r="C6" s="5">
        <v>1.75</v>
      </c>
      <c r="D6" s="7">
        <f>D2*C6</f>
        <v>10850</v>
      </c>
      <c r="E6" s="7">
        <f>E2+D6</f>
        <v>11250</v>
      </c>
      <c r="F6" s="7"/>
      <c r="G6" s="10"/>
      <c r="H6" s="10"/>
      <c r="I6" s="5"/>
      <c r="J6" s="38"/>
      <c r="K6" s="5"/>
      <c r="L6" s="5"/>
      <c r="M6" s="5"/>
      <c r="N6" s="5"/>
      <c r="O6" s="5"/>
      <c r="P6" s="5"/>
      <c r="Q6" s="5"/>
    </row>
    <row r="7" spans="1:17" x14ac:dyDescent="0.25">
      <c r="A7" s="5"/>
      <c r="B7" s="5"/>
      <c r="C7" s="5">
        <v>1.6</v>
      </c>
      <c r="D7" s="7">
        <f>D3*C7</f>
        <v>7936</v>
      </c>
      <c r="E7" s="7">
        <f>E3+D7</f>
        <v>13296</v>
      </c>
      <c r="F7" s="7"/>
      <c r="G7" s="10"/>
      <c r="H7" s="10"/>
      <c r="I7" s="5" t="s">
        <v>266</v>
      </c>
      <c r="J7" s="38"/>
      <c r="K7" s="5"/>
      <c r="L7" s="5"/>
      <c r="M7" s="5"/>
      <c r="N7" s="5"/>
      <c r="O7" s="5"/>
      <c r="P7" s="5"/>
      <c r="Q7" s="5"/>
    </row>
    <row r="8" spans="1:17" x14ac:dyDescent="0.25">
      <c r="A8" s="5"/>
      <c r="B8" s="5"/>
      <c r="C8" s="5">
        <v>1.7</v>
      </c>
      <c r="D8" s="7">
        <f>D2*C8</f>
        <v>10540</v>
      </c>
      <c r="E8" s="7">
        <f>E2+D8</f>
        <v>10940</v>
      </c>
      <c r="F8" s="7"/>
      <c r="G8" s="10"/>
      <c r="H8" s="10"/>
      <c r="I8" s="5" t="s">
        <v>267</v>
      </c>
      <c r="J8" s="7">
        <v>1500000</v>
      </c>
      <c r="K8" s="8">
        <f>J8/K4</f>
        <v>88.235294117647058</v>
      </c>
      <c r="L8" s="7">
        <v>1350000</v>
      </c>
      <c r="M8" s="7">
        <f>L8/M4</f>
        <v>54</v>
      </c>
      <c r="N8" s="7">
        <v>850000</v>
      </c>
      <c r="O8" s="7">
        <f>N8/O4</f>
        <v>32.692307692307693</v>
      </c>
      <c r="P8" s="7">
        <v>530000</v>
      </c>
      <c r="Q8" s="8">
        <f>P8/Q4</f>
        <v>64.242424242424249</v>
      </c>
    </row>
    <row r="9" spans="1:17" x14ac:dyDescent="0.25">
      <c r="A9" s="5"/>
      <c r="B9" s="5"/>
      <c r="C9" s="5">
        <v>1.72</v>
      </c>
      <c r="D9" s="7">
        <f>D2*C9</f>
        <v>10664</v>
      </c>
      <c r="E9" s="7">
        <f>E2+D9</f>
        <v>11064</v>
      </c>
      <c r="F9" s="7"/>
      <c r="G9" s="10"/>
      <c r="H9" s="10"/>
      <c r="I9" s="5" t="s">
        <v>268</v>
      </c>
      <c r="J9" s="7">
        <v>1150000</v>
      </c>
      <c r="K9" s="7">
        <f>J9/K4</f>
        <v>67.647058823529406</v>
      </c>
      <c r="L9" s="7">
        <v>1100000</v>
      </c>
      <c r="M9" s="7">
        <f>L9/M4</f>
        <v>44</v>
      </c>
      <c r="N9" s="7">
        <v>100000</v>
      </c>
      <c r="O9" s="7">
        <f>N9/O4</f>
        <v>3.8461538461538463</v>
      </c>
      <c r="P9" s="7">
        <v>600000</v>
      </c>
      <c r="Q9" s="8">
        <f>P9/Q4</f>
        <v>72.727272727272734</v>
      </c>
    </row>
    <row r="10" spans="1:17" x14ac:dyDescent="0.25">
      <c r="A10" s="5">
        <v>0.7</v>
      </c>
      <c r="B10" s="5"/>
      <c r="C10" s="5">
        <v>2.2999999999999998</v>
      </c>
      <c r="D10" s="7">
        <f>D2*C10</f>
        <v>14259.999999999998</v>
      </c>
      <c r="E10" s="7">
        <f>D10+E2</f>
        <v>14659.999999999998</v>
      </c>
      <c r="F10" s="7"/>
      <c r="I10" s="5" t="s">
        <v>269</v>
      </c>
      <c r="J10" s="5" t="s">
        <v>270</v>
      </c>
      <c r="K10" s="7">
        <v>67</v>
      </c>
      <c r="L10" s="5" t="s">
        <v>271</v>
      </c>
      <c r="M10" s="5">
        <v>100</v>
      </c>
      <c r="N10" s="7" t="s">
        <v>271</v>
      </c>
      <c r="O10" s="7">
        <v>100</v>
      </c>
      <c r="P10" s="7" t="s">
        <v>271</v>
      </c>
      <c r="Q10" s="5">
        <v>100</v>
      </c>
    </row>
    <row r="11" spans="1:17" x14ac:dyDescent="0.25">
      <c r="A11" s="5"/>
      <c r="B11" s="5"/>
      <c r="C11" s="5">
        <v>2.2000000000000002</v>
      </c>
      <c r="D11" s="7">
        <f>D2*C11</f>
        <v>13640.000000000002</v>
      </c>
      <c r="E11" s="7">
        <f>D11+E2</f>
        <v>14040.000000000002</v>
      </c>
      <c r="F11" s="7"/>
      <c r="I11" s="5"/>
      <c r="J11" s="7"/>
      <c r="K11" s="39">
        <f>SUM(K8:K10)</f>
        <v>222.88235294117646</v>
      </c>
      <c r="L11" s="39"/>
      <c r="M11" s="39">
        <f>SUM(M8:M10)</f>
        <v>198</v>
      </c>
      <c r="N11" s="39"/>
      <c r="O11" s="39">
        <f>SUM(O8:O10)</f>
        <v>136.53846153846155</v>
      </c>
      <c r="P11" s="39"/>
      <c r="Q11" s="39">
        <f>SUM(Q8:Q10)</f>
        <v>236.969696969697</v>
      </c>
    </row>
    <row r="12" spans="1:17" x14ac:dyDescent="0.25">
      <c r="A12" s="5"/>
      <c r="B12" s="5"/>
      <c r="C12" s="5"/>
      <c r="D12" s="5"/>
      <c r="E12" s="5"/>
      <c r="F12" s="5"/>
      <c r="G12" s="10"/>
      <c r="H12" s="10"/>
      <c r="I12" s="5"/>
      <c r="J12" s="7"/>
      <c r="K12" s="39"/>
      <c r="L12" s="5"/>
      <c r="M12" s="5"/>
      <c r="N12" s="7"/>
      <c r="O12" s="7"/>
      <c r="P12" s="7"/>
      <c r="Q12" s="5"/>
    </row>
    <row r="13" spans="1:17" x14ac:dyDescent="0.25">
      <c r="A13" s="5"/>
      <c r="B13" s="5" t="s">
        <v>334</v>
      </c>
      <c r="C13" s="5"/>
      <c r="D13" s="5">
        <v>1820</v>
      </c>
      <c r="E13" s="5">
        <v>500</v>
      </c>
      <c r="F13" s="5" t="s">
        <v>382</v>
      </c>
      <c r="G13" s="10"/>
      <c r="H13" s="10"/>
      <c r="I13" s="5" t="s">
        <v>272</v>
      </c>
      <c r="J13" s="7">
        <v>1800000</v>
      </c>
      <c r="K13" s="8">
        <f>J13/K4</f>
        <v>105.88235294117646</v>
      </c>
      <c r="L13" s="7">
        <v>1700000</v>
      </c>
      <c r="M13" s="5">
        <f>L13/M4</f>
        <v>68</v>
      </c>
      <c r="N13" s="7">
        <v>1400000</v>
      </c>
      <c r="O13" s="7">
        <f>N13/O4</f>
        <v>53.846153846153847</v>
      </c>
      <c r="P13" s="7">
        <v>630000</v>
      </c>
      <c r="Q13" s="8">
        <f>P13/Q4</f>
        <v>76.36363636363636</v>
      </c>
    </row>
    <row r="14" spans="1:17" x14ac:dyDescent="0.25">
      <c r="A14" s="5">
        <v>0.18</v>
      </c>
      <c r="B14" s="41">
        <f>A14*7.8*1.2</f>
        <v>1.6847999999999999</v>
      </c>
      <c r="C14" s="5">
        <v>1.75</v>
      </c>
      <c r="D14" s="7">
        <f>D13*C14</f>
        <v>3185</v>
      </c>
      <c r="E14" s="7">
        <f>E13+D14</f>
        <v>3685</v>
      </c>
      <c r="F14" s="40">
        <v>3700</v>
      </c>
      <c r="G14" s="10"/>
      <c r="H14" s="10"/>
      <c r="I14" s="5"/>
      <c r="J14" s="37"/>
      <c r="K14" s="8">
        <f>K11+K13</f>
        <v>328.76470588235293</v>
      </c>
      <c r="L14" s="8"/>
      <c r="M14" s="8">
        <f>M11+M13</f>
        <v>266</v>
      </c>
      <c r="N14" s="8"/>
      <c r="O14" s="8">
        <f>O11+O13</f>
        <v>190.38461538461539</v>
      </c>
      <c r="P14" s="8"/>
      <c r="Q14" s="8">
        <f>Q11+Q13</f>
        <v>313.33333333333337</v>
      </c>
    </row>
    <row r="15" spans="1:17" x14ac:dyDescent="0.25">
      <c r="A15" s="5">
        <v>0.2</v>
      </c>
      <c r="B15" s="41">
        <f t="shared" ref="B15:B21" si="0">A15*7.8*1.2</f>
        <v>1.8719999999999999</v>
      </c>
      <c r="C15" s="5">
        <v>1.9</v>
      </c>
      <c r="D15" s="7">
        <f>D13*C15</f>
        <v>3458</v>
      </c>
      <c r="E15" s="7">
        <f>E13+D15</f>
        <v>3958</v>
      </c>
      <c r="F15" s="40">
        <v>3950</v>
      </c>
      <c r="G15" s="10"/>
      <c r="H15" s="10"/>
    </row>
    <row r="16" spans="1:17" x14ac:dyDescent="0.25">
      <c r="A16" s="5">
        <v>0.22</v>
      </c>
      <c r="B16" s="41">
        <f t="shared" si="0"/>
        <v>2.0591999999999997</v>
      </c>
      <c r="C16" s="5">
        <v>2.1</v>
      </c>
      <c r="D16" s="7">
        <f>D13*C16</f>
        <v>3822</v>
      </c>
      <c r="E16" s="7">
        <f>E13+D16</f>
        <v>4322</v>
      </c>
      <c r="F16" s="40">
        <v>4350</v>
      </c>
      <c r="G16" s="10"/>
      <c r="H16" s="10"/>
      <c r="I16" s="10"/>
    </row>
    <row r="17" spans="1:9" x14ac:dyDescent="0.25">
      <c r="A17" s="5">
        <v>0.24</v>
      </c>
      <c r="B17" s="41">
        <f t="shared" si="0"/>
        <v>2.2464</v>
      </c>
      <c r="C17" s="5">
        <v>2.2999999999999998</v>
      </c>
      <c r="D17" s="7">
        <f>D13*C17</f>
        <v>4186</v>
      </c>
      <c r="E17" s="7">
        <f>D17+E13</f>
        <v>4686</v>
      </c>
      <c r="F17" s="40">
        <v>4800</v>
      </c>
    </row>
    <row r="18" spans="1:9" x14ac:dyDescent="0.25">
      <c r="A18" s="5">
        <v>0.25</v>
      </c>
      <c r="B18" s="41">
        <f t="shared" si="0"/>
        <v>2.34</v>
      </c>
      <c r="C18" s="5"/>
      <c r="D18" s="7"/>
      <c r="E18" s="7"/>
      <c r="F18" s="40"/>
    </row>
    <row r="19" spans="1:9" x14ac:dyDescent="0.25">
      <c r="A19" s="5">
        <v>0.26</v>
      </c>
      <c r="B19" s="41">
        <f t="shared" si="0"/>
        <v>2.4335999999999998</v>
      </c>
      <c r="C19" s="5"/>
      <c r="D19" s="7"/>
      <c r="E19" s="7"/>
      <c r="F19" s="40"/>
    </row>
    <row r="20" spans="1:9" x14ac:dyDescent="0.25">
      <c r="A20" s="5">
        <v>0.27</v>
      </c>
      <c r="B20" s="41">
        <f t="shared" si="0"/>
        <v>2.5271999999999997</v>
      </c>
      <c r="C20" s="5"/>
      <c r="D20" s="7"/>
      <c r="E20" s="7"/>
      <c r="F20" s="40"/>
    </row>
    <row r="21" spans="1:9" x14ac:dyDescent="0.25">
      <c r="A21" s="5">
        <v>0.28000000000000003</v>
      </c>
      <c r="B21" s="41">
        <f t="shared" si="0"/>
        <v>2.6208</v>
      </c>
      <c r="C21" s="5">
        <v>2.7</v>
      </c>
      <c r="D21" s="7">
        <f>D13*C21</f>
        <v>4914</v>
      </c>
      <c r="E21" s="7">
        <f>E13+D21</f>
        <v>5414</v>
      </c>
      <c r="F21" s="40">
        <v>5900</v>
      </c>
    </row>
    <row r="22" spans="1:9" x14ac:dyDescent="0.25">
      <c r="A22" s="5"/>
      <c r="B22" s="5"/>
      <c r="C22" s="5"/>
      <c r="D22" s="5"/>
      <c r="E22" s="5"/>
      <c r="F22" s="5"/>
    </row>
    <row r="23" spans="1:9" x14ac:dyDescent="0.25">
      <c r="I23">
        <v>4200</v>
      </c>
    </row>
    <row r="24" spans="1:9" x14ac:dyDescent="0.25">
      <c r="A24" s="5">
        <v>0.18</v>
      </c>
      <c r="D24">
        <v>4075</v>
      </c>
      <c r="E24" s="7">
        <v>4162.5</v>
      </c>
      <c r="F24" s="7">
        <v>4197.5</v>
      </c>
      <c r="I24">
        <v>4450</v>
      </c>
    </row>
    <row r="25" spans="1:9" x14ac:dyDescent="0.25">
      <c r="A25" s="5">
        <v>0.2</v>
      </c>
      <c r="D25">
        <v>4390</v>
      </c>
      <c r="E25" s="7">
        <v>4485</v>
      </c>
      <c r="F25" s="7">
        <v>4523</v>
      </c>
      <c r="I25">
        <v>4950</v>
      </c>
    </row>
    <row r="26" spans="1:9" x14ac:dyDescent="0.25">
      <c r="A26" s="5">
        <v>0.22</v>
      </c>
      <c r="D26">
        <v>4810</v>
      </c>
      <c r="E26" s="7">
        <v>4915</v>
      </c>
      <c r="F26" s="7">
        <v>4957</v>
      </c>
      <c r="I26">
        <v>5350</v>
      </c>
    </row>
    <row r="27" spans="1:9" x14ac:dyDescent="0.25">
      <c r="A27" s="5">
        <v>0.24</v>
      </c>
      <c r="D27">
        <v>5230</v>
      </c>
      <c r="E27" s="7">
        <v>5345</v>
      </c>
      <c r="F27" s="7">
        <v>5391</v>
      </c>
      <c r="I27">
        <v>6350</v>
      </c>
    </row>
    <row r="28" spans="1:9" x14ac:dyDescent="0.25">
      <c r="A28" s="5">
        <v>0.28000000000000003</v>
      </c>
      <c r="D28">
        <v>6070</v>
      </c>
      <c r="E28" s="7">
        <v>6205</v>
      </c>
      <c r="F28" s="7">
        <v>6259</v>
      </c>
    </row>
  </sheetData>
  <mergeCells count="4">
    <mergeCell ref="J3:K3"/>
    <mergeCell ref="L3:M3"/>
    <mergeCell ref="N3:O3"/>
    <mergeCell ref="P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2023</vt:lpstr>
      <vt:lpstr>2024</vt:lpstr>
      <vt:lpstr>2025</vt:lpstr>
      <vt:lpstr>Sheet1</vt:lpstr>
      <vt:lpstr>Stock</vt:lpstr>
      <vt:lpstr>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Sali Abdulrahman</cp:lastModifiedBy>
  <cp:lastPrinted>2026-01-27T13:53:37Z</cp:lastPrinted>
  <dcterms:created xsi:type="dcterms:W3CDTF">2023-07-13T13:21:48Z</dcterms:created>
  <dcterms:modified xsi:type="dcterms:W3CDTF">2026-02-25T13:12:43Z</dcterms:modified>
</cp:coreProperties>
</file>