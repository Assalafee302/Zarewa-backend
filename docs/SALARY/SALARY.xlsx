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Zarewa-System\docs\"/>
    </mc:Choice>
  </mc:AlternateContent>
  <xr:revisionPtr revIDLastSave="0" documentId="8_{84AD609D-C44B-45D2-91A5-3DB7BEAFA930}" xr6:coauthVersionLast="47" xr6:coauthVersionMax="47" xr10:uidLastSave="{00000000-0000-0000-0000-000000000000}"/>
  <bookViews>
    <workbookView xWindow="-120" yWindow="-120" windowWidth="29040" windowHeight="15720" xr2:uid="{9DE5B419-C20B-47F2-9C0E-6514E0794F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1" l="1"/>
  <c r="I78" i="1"/>
  <c r="H78" i="1"/>
  <c r="J78" i="1" s="1"/>
  <c r="K78" i="1" s="1"/>
  <c r="K77" i="1"/>
  <c r="P76" i="1" s="1"/>
  <c r="I77" i="1"/>
  <c r="H77" i="1"/>
  <c r="O76" i="1"/>
  <c r="I76" i="1"/>
  <c r="H76" i="1"/>
  <c r="J76" i="1" s="1"/>
  <c r="K76" i="1" s="1"/>
  <c r="I75" i="1"/>
  <c r="J75" i="1" s="1"/>
  <c r="H75" i="1"/>
  <c r="K74" i="1"/>
  <c r="P73" i="1" s="1"/>
  <c r="I74" i="1"/>
  <c r="H74" i="1"/>
  <c r="K73" i="1"/>
  <c r="I73" i="1"/>
  <c r="H73" i="1"/>
  <c r="P72" i="1"/>
  <c r="O72" i="1"/>
  <c r="K72" i="1"/>
  <c r="I72" i="1"/>
  <c r="H72" i="1"/>
  <c r="P71" i="1"/>
  <c r="O71" i="1"/>
  <c r="K71" i="1"/>
  <c r="P70" i="1" s="1"/>
  <c r="I71" i="1"/>
  <c r="H71" i="1"/>
  <c r="O70" i="1"/>
  <c r="I70" i="1"/>
  <c r="H70" i="1"/>
  <c r="J70" i="1" s="1"/>
  <c r="K70" i="1" s="1"/>
  <c r="I69" i="1"/>
  <c r="H69" i="1"/>
  <c r="J69" i="1" s="1"/>
  <c r="K69" i="1" s="1"/>
  <c r="K66" i="1"/>
  <c r="O65" i="1" s="1"/>
  <c r="I66" i="1"/>
  <c r="H66" i="1"/>
  <c r="P65" i="1"/>
  <c r="K65" i="1"/>
  <c r="O64" i="1" s="1"/>
  <c r="I65" i="1"/>
  <c r="H65" i="1"/>
  <c r="K64" i="1"/>
  <c r="P63" i="1" s="1"/>
  <c r="I64" i="1"/>
  <c r="H64" i="1"/>
  <c r="K63" i="1"/>
  <c r="O62" i="1" s="1"/>
  <c r="I63" i="1"/>
  <c r="H63" i="1"/>
  <c r="P62" i="1"/>
  <c r="K62" i="1"/>
  <c r="I62" i="1"/>
  <c r="H62" i="1"/>
  <c r="P61" i="1"/>
  <c r="O61" i="1"/>
  <c r="K59" i="1"/>
  <c r="P58" i="1" s="1"/>
  <c r="I59" i="1"/>
  <c r="H59" i="1"/>
  <c r="O58" i="1"/>
  <c r="K58" i="1"/>
  <c r="P57" i="1" s="1"/>
  <c r="I58" i="1"/>
  <c r="H58" i="1"/>
  <c r="O57" i="1"/>
  <c r="I57" i="1"/>
  <c r="H57" i="1"/>
  <c r="J57" i="1" s="1"/>
  <c r="K57" i="1" s="1"/>
  <c r="J56" i="1"/>
  <c r="K56" i="1" s="1"/>
  <c r="I56" i="1"/>
  <c r="H56" i="1"/>
  <c r="G53" i="1"/>
  <c r="G81" i="1" s="1"/>
  <c r="I52" i="1"/>
  <c r="J52" i="1" s="1"/>
  <c r="K52" i="1" s="1"/>
  <c r="H52" i="1"/>
  <c r="K51" i="1"/>
  <c r="P50" i="1" s="1"/>
  <c r="I51" i="1"/>
  <c r="H51" i="1"/>
  <c r="I50" i="1"/>
  <c r="H50" i="1"/>
  <c r="J50" i="1" s="1"/>
  <c r="K50" i="1" s="1"/>
  <c r="J49" i="1"/>
  <c r="K49" i="1" s="1"/>
  <c r="I49" i="1"/>
  <c r="H49" i="1"/>
  <c r="I48" i="1"/>
  <c r="H48" i="1"/>
  <c r="J48" i="1" s="1"/>
  <c r="K48" i="1" s="1"/>
  <c r="J47" i="1"/>
  <c r="K47" i="1" s="1"/>
  <c r="I47" i="1"/>
  <c r="H47" i="1"/>
  <c r="I46" i="1"/>
  <c r="H46" i="1"/>
  <c r="J46" i="1" s="1"/>
  <c r="K46" i="1" s="1"/>
  <c r="J45" i="1"/>
  <c r="K45" i="1" s="1"/>
  <c r="I45" i="1"/>
  <c r="H45" i="1"/>
  <c r="I44" i="1"/>
  <c r="H44" i="1"/>
  <c r="J44" i="1" s="1"/>
  <c r="K44" i="1" s="1"/>
  <c r="J43" i="1"/>
  <c r="K43" i="1" s="1"/>
  <c r="I43" i="1"/>
  <c r="H43" i="1"/>
  <c r="I42" i="1"/>
  <c r="H42" i="1"/>
  <c r="J42" i="1" s="1"/>
  <c r="K42" i="1" s="1"/>
  <c r="J41" i="1"/>
  <c r="K41" i="1" s="1"/>
  <c r="I41" i="1"/>
  <c r="H41" i="1"/>
  <c r="I40" i="1"/>
  <c r="H40" i="1"/>
  <c r="J40" i="1" s="1"/>
  <c r="K40" i="1" s="1"/>
  <c r="J39" i="1"/>
  <c r="K39" i="1" s="1"/>
  <c r="I39" i="1"/>
  <c r="H39" i="1"/>
  <c r="I38" i="1"/>
  <c r="H38" i="1"/>
  <c r="J38" i="1" s="1"/>
  <c r="G36" i="1"/>
  <c r="I35" i="1"/>
  <c r="H35" i="1"/>
  <c r="J35" i="1" s="1"/>
  <c r="K35" i="1" s="1"/>
  <c r="I34" i="1"/>
  <c r="H34" i="1"/>
  <c r="J34" i="1" s="1"/>
  <c r="K34" i="1" s="1"/>
  <c r="K33" i="1"/>
  <c r="O32" i="1" s="1"/>
  <c r="J33" i="1"/>
  <c r="I33" i="1"/>
  <c r="H33" i="1"/>
  <c r="P32" i="1"/>
  <c r="I32" i="1"/>
  <c r="H32" i="1"/>
  <c r="J32" i="1" s="1"/>
  <c r="K32" i="1" s="1"/>
  <c r="I31" i="1"/>
  <c r="H31" i="1"/>
  <c r="J31" i="1" s="1"/>
  <c r="G28" i="1"/>
  <c r="K27" i="1"/>
  <c r="O26" i="1" s="1"/>
  <c r="I27" i="1"/>
  <c r="H27" i="1"/>
  <c r="I26" i="1"/>
  <c r="H26" i="1"/>
  <c r="J26" i="1" s="1"/>
  <c r="K26" i="1" s="1"/>
  <c r="I25" i="1"/>
  <c r="H25" i="1"/>
  <c r="J25" i="1" s="1"/>
  <c r="K25" i="1" s="1"/>
  <c r="J24" i="1"/>
  <c r="K24" i="1" s="1"/>
  <c r="I24" i="1"/>
  <c r="H24" i="1"/>
  <c r="I23" i="1"/>
  <c r="H23" i="1"/>
  <c r="J23" i="1" s="1"/>
  <c r="K23" i="1" s="1"/>
  <c r="K22" i="1"/>
  <c r="O22" i="1" s="1"/>
  <c r="I22" i="1"/>
  <c r="H22" i="1"/>
  <c r="I21" i="1"/>
  <c r="H21" i="1"/>
  <c r="J21" i="1" s="1"/>
  <c r="K21" i="1" s="1"/>
  <c r="I20" i="1"/>
  <c r="J20" i="1" s="1"/>
  <c r="K20" i="1" s="1"/>
  <c r="H20" i="1"/>
  <c r="I19" i="1"/>
  <c r="H19" i="1"/>
  <c r="J19" i="1" s="1"/>
  <c r="K19" i="1" s="1"/>
  <c r="J18" i="1"/>
  <c r="K18" i="1" s="1"/>
  <c r="I18" i="1"/>
  <c r="H18" i="1"/>
  <c r="I17" i="1"/>
  <c r="H17" i="1"/>
  <c r="J17" i="1" s="1"/>
  <c r="K17" i="1" s="1"/>
  <c r="I16" i="1"/>
  <c r="H16" i="1"/>
  <c r="J16" i="1" s="1"/>
  <c r="G13" i="1"/>
  <c r="I12" i="1"/>
  <c r="H12" i="1"/>
  <c r="J12" i="1" s="1"/>
  <c r="K12" i="1" s="1"/>
  <c r="I11" i="1"/>
  <c r="J11" i="1" s="1"/>
  <c r="K11" i="1" s="1"/>
  <c r="H11" i="1"/>
  <c r="I10" i="1"/>
  <c r="H10" i="1"/>
  <c r="J10" i="1" s="1"/>
  <c r="K10" i="1" s="1"/>
  <c r="I9" i="1"/>
  <c r="H9" i="1"/>
  <c r="J9" i="1" s="1"/>
  <c r="K9" i="1" s="1"/>
  <c r="I8" i="1"/>
  <c r="H8" i="1"/>
  <c r="J8" i="1" s="1"/>
  <c r="K8" i="1" s="1"/>
  <c r="I7" i="1"/>
  <c r="J7" i="1" s="1"/>
  <c r="K7" i="1" s="1"/>
  <c r="H7" i="1"/>
  <c r="I6" i="1"/>
  <c r="H6" i="1"/>
  <c r="J6" i="1" s="1"/>
  <c r="K4" i="1"/>
  <c r="O4" i="1" s="1"/>
  <c r="I4" i="1"/>
  <c r="H4" i="1"/>
  <c r="J28" i="1" l="1"/>
  <c r="K16" i="1"/>
  <c r="J13" i="1"/>
  <c r="K6" i="1"/>
  <c r="P17" i="1"/>
  <c r="O17" i="1"/>
  <c r="P20" i="1"/>
  <c r="O20" i="1"/>
  <c r="P43" i="1"/>
  <c r="O43" i="1"/>
  <c r="P21" i="1"/>
  <c r="O21" i="1"/>
  <c r="K38" i="1"/>
  <c r="J53" i="1"/>
  <c r="O46" i="1"/>
  <c r="P46" i="1"/>
  <c r="P55" i="1"/>
  <c r="O55" i="1"/>
  <c r="P39" i="1"/>
  <c r="O39" i="1"/>
  <c r="P48" i="1"/>
  <c r="O48" i="1"/>
  <c r="O42" i="1"/>
  <c r="P42" i="1"/>
  <c r="O7" i="1"/>
  <c r="P7" i="1"/>
  <c r="P11" i="1"/>
  <c r="O11" i="1"/>
  <c r="P24" i="1"/>
  <c r="O24" i="1"/>
  <c r="P40" i="1"/>
  <c r="O40" i="1"/>
  <c r="P47" i="1"/>
  <c r="O47" i="1"/>
  <c r="P56" i="1"/>
  <c r="O56" i="1"/>
  <c r="O10" i="1"/>
  <c r="P10" i="1"/>
  <c r="P41" i="1"/>
  <c r="O41" i="1"/>
  <c r="O23" i="1"/>
  <c r="P23" i="1"/>
  <c r="P68" i="1"/>
  <c r="O68" i="1"/>
  <c r="P8" i="1"/>
  <c r="O8" i="1"/>
  <c r="P25" i="1"/>
  <c r="O25" i="1"/>
  <c r="K31" i="1"/>
  <c r="J36" i="1"/>
  <c r="P18" i="1"/>
  <c r="O18" i="1"/>
  <c r="P33" i="1"/>
  <c r="O33" i="1"/>
  <c r="P44" i="1"/>
  <c r="O44" i="1"/>
  <c r="P77" i="1"/>
  <c r="O77" i="1"/>
  <c r="P34" i="1"/>
  <c r="O34" i="1"/>
  <c r="P49" i="1"/>
  <c r="O49" i="1"/>
  <c r="P12" i="1"/>
  <c r="O12" i="1"/>
  <c r="O9" i="1"/>
  <c r="P9" i="1"/>
  <c r="P19" i="1"/>
  <c r="O19" i="1"/>
  <c r="O31" i="1"/>
  <c r="P31" i="1"/>
  <c r="P38" i="1"/>
  <c r="O38" i="1"/>
  <c r="P45" i="1"/>
  <c r="O45" i="1"/>
  <c r="O51" i="1"/>
  <c r="P51" i="1"/>
  <c r="K75" i="1"/>
  <c r="K79" i="1" s="1"/>
  <c r="J79" i="1"/>
  <c r="J81" i="1" s="1"/>
  <c r="P75" i="1"/>
  <c r="O75" i="1"/>
  <c r="P22" i="1"/>
  <c r="P26" i="1"/>
  <c r="P64" i="1"/>
  <c r="O50" i="1"/>
  <c r="O63" i="1"/>
  <c r="O73" i="1"/>
  <c r="P4" i="1"/>
  <c r="P78" i="1" l="1"/>
  <c r="O78" i="1"/>
  <c r="K13" i="1"/>
  <c r="O6" i="1"/>
  <c r="P6" i="1"/>
  <c r="O74" i="1"/>
  <c r="P74" i="1"/>
  <c r="P37" i="1"/>
  <c r="O37" i="1"/>
  <c r="K53" i="1"/>
  <c r="P16" i="1"/>
  <c r="O16" i="1"/>
  <c r="K28" i="1"/>
  <c r="K36" i="1"/>
  <c r="P30" i="1"/>
  <c r="O30" i="1"/>
  <c r="P13" i="1" l="1"/>
  <c r="O13" i="1"/>
  <c r="O35" i="1"/>
  <c r="P35" i="1"/>
  <c r="P27" i="1"/>
  <c r="O27" i="1"/>
  <c r="P52" i="1"/>
  <c r="O52" i="1"/>
  <c r="K81" i="1"/>
  <c r="K82" i="1" l="1"/>
  <c r="P80" i="1"/>
</calcChain>
</file>

<file path=xl/sharedStrings.xml><?xml version="1.0" encoding="utf-8"?>
<sst xmlns="http://schemas.openxmlformats.org/spreadsheetml/2006/main" count="397" uniqueCount="263">
  <si>
    <t>NEW PROPOSAL FOR SALARY INCREMENT FOR ALL BRANCHES</t>
  </si>
  <si>
    <t>NAME</t>
  </si>
  <si>
    <t>Office</t>
  </si>
  <si>
    <t>Qualification</t>
  </si>
  <si>
    <t>employment date</t>
  </si>
  <si>
    <t>Categorie</t>
  </si>
  <si>
    <t xml:space="preserve">years </t>
  </si>
  <si>
    <t>Current Salary</t>
  </si>
  <si>
    <t>L</t>
  </si>
  <si>
    <t>S</t>
  </si>
  <si>
    <t>Propsed Salary</t>
  </si>
  <si>
    <t>Diffrence</t>
  </si>
  <si>
    <t>Acct</t>
  </si>
  <si>
    <t>bank</t>
  </si>
  <si>
    <t>USMAN SALI BODES</t>
  </si>
  <si>
    <t>CEO</t>
  </si>
  <si>
    <t>Director</t>
  </si>
  <si>
    <t>#0108951157</t>
  </si>
  <si>
    <t>GTB</t>
  </si>
  <si>
    <t xml:space="preserve">USMAN SALI </t>
  </si>
  <si>
    <t>years</t>
  </si>
  <si>
    <t>&lt;2</t>
  </si>
  <si>
    <t>&gt;2&lt;5</t>
  </si>
  <si>
    <t>&gt;5&lt;10</t>
  </si>
  <si>
    <t>&gt;10&lt;15</t>
  </si>
  <si>
    <t>&gt;15&lt;20</t>
  </si>
  <si>
    <t>MUSTAPHA SALI</t>
  </si>
  <si>
    <t xml:space="preserve">Managing Director </t>
  </si>
  <si>
    <t>#2003022326</t>
  </si>
  <si>
    <t>UBA</t>
  </si>
  <si>
    <t>MUSTAPHA IBN SALI</t>
  </si>
  <si>
    <t>level</t>
  </si>
  <si>
    <t>Jalingo</t>
  </si>
  <si>
    <t>Entry</t>
  </si>
  <si>
    <t>HASSAN SAJO</t>
  </si>
  <si>
    <t>Branch Manager</t>
  </si>
  <si>
    <t>HND/NYSC</t>
  </si>
  <si>
    <t>DECEMBER 2007 YES</t>
  </si>
  <si>
    <t>Management</t>
  </si>
  <si>
    <t>#2044878164</t>
  </si>
  <si>
    <t>Junior</t>
  </si>
  <si>
    <t>SULEMAN LIMAN</t>
  </si>
  <si>
    <t>Asst Branch manager</t>
  </si>
  <si>
    <t>JANUARY 2014 YES</t>
  </si>
  <si>
    <t>senior</t>
  </si>
  <si>
    <t>#6171334024</t>
  </si>
  <si>
    <t>FIDELITY BANK</t>
  </si>
  <si>
    <t>SULEIMAN LIMAN</t>
  </si>
  <si>
    <t>Senior</t>
  </si>
  <si>
    <t>YUSUF SALI</t>
  </si>
  <si>
    <t>Cashier</t>
  </si>
  <si>
    <t>BSC/NYSC</t>
  </si>
  <si>
    <t>JANUARY 2022 YES</t>
  </si>
  <si>
    <t>#0039332067</t>
  </si>
  <si>
    <t>STANBIC</t>
  </si>
  <si>
    <t>YUSUF ABUBAKAR SALI</t>
  </si>
  <si>
    <t>GOWELL PETER</t>
  </si>
  <si>
    <t>Operator</t>
  </si>
  <si>
    <t>BSC</t>
  </si>
  <si>
    <t>MARCH 2012 YES</t>
  </si>
  <si>
    <t>#2261637588</t>
  </si>
  <si>
    <t xml:space="preserve">UBA </t>
  </si>
  <si>
    <t>GOWEL PETER</t>
  </si>
  <si>
    <t>Top management</t>
  </si>
  <si>
    <t>NUHU ABAOCHI</t>
  </si>
  <si>
    <t>Factory worker</t>
  </si>
  <si>
    <t>NABTEB</t>
  </si>
  <si>
    <t xml:space="preserve">AUGUST 2012 YES </t>
  </si>
  <si>
    <t>entry</t>
  </si>
  <si>
    <t>#2235790794</t>
  </si>
  <si>
    <t>NUHU DANIEL ABOSHI</t>
  </si>
  <si>
    <t>SAIDU ISA BAZZA</t>
  </si>
  <si>
    <t>Factory Assistant</t>
  </si>
  <si>
    <t>SSCE</t>
  </si>
  <si>
    <t>JUNE 2013 NIL</t>
  </si>
  <si>
    <t>#3055239850</t>
  </si>
  <si>
    <t>FIRST BANK</t>
  </si>
  <si>
    <t>ISA SAIDU BAZZA</t>
  </si>
  <si>
    <t>MUHAMMAD ABUBAKAR</t>
  </si>
  <si>
    <t>Security</t>
  </si>
  <si>
    <t>NIL</t>
  </si>
  <si>
    <t>JULY 2012 NIL</t>
  </si>
  <si>
    <t>Kaduna</t>
  </si>
  <si>
    <t>ALI ONUCHE</t>
  </si>
  <si>
    <t>JUNE 2007 YES</t>
  </si>
  <si>
    <t>#3009797804</t>
  </si>
  <si>
    <t>ONUCHE ALI</t>
  </si>
  <si>
    <t>MUHAMMAD BAKARI</t>
  </si>
  <si>
    <t>Asst Branch Manager</t>
  </si>
  <si>
    <t>SEPTEMBER 2009 YES</t>
  </si>
  <si>
    <t>#3064987728</t>
  </si>
  <si>
    <t xml:space="preserve">MOHAMMAED IBRAHIM </t>
  </si>
  <si>
    <t>ABDULRAHMAN SALI</t>
  </si>
  <si>
    <t>Accountant II</t>
  </si>
  <si>
    <t>JANUARY 2020 YES</t>
  </si>
  <si>
    <t>management</t>
  </si>
  <si>
    <t>#0066212808</t>
  </si>
  <si>
    <t>UNION BANK</t>
  </si>
  <si>
    <t>DOUGLAS YAKUBU</t>
  </si>
  <si>
    <t>Store Keeper</t>
  </si>
  <si>
    <t>JUNE 2011 NIL</t>
  </si>
  <si>
    <t>#0068898282</t>
  </si>
  <si>
    <t>ACCESS BANK</t>
  </si>
  <si>
    <t>YAKUBU DOUGLAS</t>
  </si>
  <si>
    <t>DAHIRU JUBRIL</t>
  </si>
  <si>
    <t>ND</t>
  </si>
  <si>
    <t>MAY 2014 YES</t>
  </si>
  <si>
    <t>#0654050636</t>
  </si>
  <si>
    <t>GT BANK</t>
  </si>
  <si>
    <t>DAHIRU JIBRIN</t>
  </si>
  <si>
    <t>LARABA JON</t>
  </si>
  <si>
    <t>Cleaner</t>
  </si>
  <si>
    <t>FEBUARY 2022 YES</t>
  </si>
  <si>
    <t>#2252898051</t>
  </si>
  <si>
    <t>ZENITH BANK</t>
  </si>
  <si>
    <t>GODIYA JATAU</t>
  </si>
  <si>
    <t>ISYAKA NUHU</t>
  </si>
  <si>
    <t>#0636783237</t>
  </si>
  <si>
    <t>AHMADU IBRAHIM</t>
  </si>
  <si>
    <t>ABDULNASIR HASSAN SALI</t>
  </si>
  <si>
    <t>Operator II</t>
  </si>
  <si>
    <t>JULY 2023 YES</t>
  </si>
  <si>
    <t>#0259113006</t>
  </si>
  <si>
    <t>NUHU SOLOMON</t>
  </si>
  <si>
    <t>NCE</t>
  </si>
  <si>
    <t>JUNE 2024 YES</t>
  </si>
  <si>
    <t>#8130419803</t>
  </si>
  <si>
    <t>OPAY</t>
  </si>
  <si>
    <t>ABUBAKAR ABDULLAHI</t>
  </si>
  <si>
    <t>intern</t>
  </si>
  <si>
    <t>JUNE 2023 YES</t>
  </si>
  <si>
    <t>#0009874243</t>
  </si>
  <si>
    <t>TAJ BANK</t>
  </si>
  <si>
    <t>HAFIZ AUWAL</t>
  </si>
  <si>
    <t>NYSC</t>
  </si>
  <si>
    <t>#0000963342</t>
  </si>
  <si>
    <t>HAFIZ AUWAL SHEHU</t>
  </si>
  <si>
    <t>EMMANUEL LINUS</t>
  </si>
  <si>
    <t>#0618010401</t>
  </si>
  <si>
    <t>ADEDAPO ADENIJI</t>
  </si>
  <si>
    <t>Maiduguri</t>
  </si>
  <si>
    <t>OCHOLI</t>
  </si>
  <si>
    <t>MUAWIYA</t>
  </si>
  <si>
    <t>Store keeper</t>
  </si>
  <si>
    <t>ISSAC MATHIAS</t>
  </si>
  <si>
    <t>MUSA MUHD</t>
  </si>
  <si>
    <t>ESTIMATOR</t>
  </si>
  <si>
    <t>ADAMU ISA</t>
  </si>
  <si>
    <t>Yola</t>
  </si>
  <si>
    <t>HANNATU TOMAS</t>
  </si>
  <si>
    <t>BRANCH MANAGER</t>
  </si>
  <si>
    <t>#0021902546</t>
  </si>
  <si>
    <t>HANNATU THOMAS</t>
  </si>
  <si>
    <t>MUHAMMAD SALI</t>
  </si>
  <si>
    <t>BABA UMAR</t>
  </si>
  <si>
    <t>OPERATION MANAGER</t>
  </si>
  <si>
    <t>2014 NIL</t>
  </si>
  <si>
    <t>#1022435948</t>
  </si>
  <si>
    <t>BUBA UMARU</t>
  </si>
  <si>
    <t>SAADU SHUAIBU</t>
  </si>
  <si>
    <t>SADDAM ALIYU</t>
  </si>
  <si>
    <t>DECEMBER 2020 YES</t>
  </si>
  <si>
    <t>#2087007071</t>
  </si>
  <si>
    <t>LUKKA B WAMBAI</t>
  </si>
  <si>
    <t>STORE KEEPER</t>
  </si>
  <si>
    <t>GCE</t>
  </si>
  <si>
    <t>#2223676475</t>
  </si>
  <si>
    <t>LUKA WAMBAI LARBUSO</t>
  </si>
  <si>
    <t>MUHAMMED YAUBA</t>
  </si>
  <si>
    <t>OPERATOR</t>
  </si>
  <si>
    <t>JANUARY 2012 NIL</t>
  </si>
  <si>
    <t>#4911011682</t>
  </si>
  <si>
    <t>ECO BANK</t>
  </si>
  <si>
    <t>AHMED MOHAMMED</t>
  </si>
  <si>
    <t>SALIHU MUHD</t>
  </si>
  <si>
    <t>OPERATPR</t>
  </si>
  <si>
    <t>NOVEMBER 2013 NIL</t>
  </si>
  <si>
    <t>#0816568367</t>
  </si>
  <si>
    <t>SALIHU MUHAMMED</t>
  </si>
  <si>
    <t>SHUIBU DAUDA</t>
  </si>
  <si>
    <t>FSLC</t>
  </si>
  <si>
    <t>AUGUST 2007 NIL</t>
  </si>
  <si>
    <t>#1384585659</t>
  </si>
  <si>
    <t>SHUIABU DAUDA</t>
  </si>
  <si>
    <t>CALEB LATHRICA</t>
  </si>
  <si>
    <t>#</t>
  </si>
  <si>
    <t>JOSIAH JOHN</t>
  </si>
  <si>
    <t>MARKETER</t>
  </si>
  <si>
    <t>AUGUST 2022 YES</t>
  </si>
  <si>
    <t>#2077898201</t>
  </si>
  <si>
    <t>JOHN JOSIAH</t>
  </si>
  <si>
    <t>SULEIMAN AHMADU</t>
  </si>
  <si>
    <t>ASST STORE KEEPER</t>
  </si>
  <si>
    <t>JANUARY 2023 NIL</t>
  </si>
  <si>
    <t>#2367133993</t>
  </si>
  <si>
    <t>SULEMAN AHMADU</t>
  </si>
  <si>
    <t>Chairman</t>
  </si>
  <si>
    <t>GREYWOLF</t>
  </si>
  <si>
    <t>GM</t>
  </si>
  <si>
    <t>ADAMU CHAIRMAN</t>
  </si>
  <si>
    <t>Ayo peters</t>
  </si>
  <si>
    <t>AMADU YAU</t>
  </si>
  <si>
    <t>SECURITY</t>
  </si>
  <si>
    <t>2015 NIL</t>
  </si>
  <si>
    <t>#8168282996</t>
  </si>
  <si>
    <t>AHMADU YAU</t>
  </si>
  <si>
    <t>Hajja Inna</t>
  </si>
  <si>
    <t>Ali Manager</t>
  </si>
  <si>
    <t>Abubakar</t>
  </si>
  <si>
    <t>Mining Div</t>
  </si>
  <si>
    <t>Abdulmalik</t>
  </si>
  <si>
    <t>Bala Muazu Suleiman</t>
  </si>
  <si>
    <t>General Manager</t>
  </si>
  <si>
    <t>#4912023745</t>
  </si>
  <si>
    <t>SULEIMAN MUAZU BALA</t>
  </si>
  <si>
    <t xml:space="preserve">jamila </t>
  </si>
  <si>
    <t>Ayo Peters</t>
  </si>
  <si>
    <t>Site Engineer</t>
  </si>
  <si>
    <t>#1017751250</t>
  </si>
  <si>
    <t xml:space="preserve">POLARIS BANK </t>
  </si>
  <si>
    <t>AYOPETERS</t>
  </si>
  <si>
    <t>YAUBA</t>
  </si>
  <si>
    <t>SANI Driver</t>
  </si>
  <si>
    <t>Truck Driver</t>
  </si>
  <si>
    <t>Ashraf</t>
  </si>
  <si>
    <t xml:space="preserve">Yuaba </t>
  </si>
  <si>
    <t>Driver</t>
  </si>
  <si>
    <t>junior</t>
  </si>
  <si>
    <t>#2380306781</t>
  </si>
  <si>
    <t xml:space="preserve">YAUBA </t>
  </si>
  <si>
    <t>Scholaship</t>
  </si>
  <si>
    <t>ABDULMALIK SALI</t>
  </si>
  <si>
    <t>#2020569309</t>
  </si>
  <si>
    <t>KUDA</t>
  </si>
  <si>
    <t>JAMILA SALI</t>
  </si>
  <si>
    <t>#0162915221</t>
  </si>
  <si>
    <t>ABUBAKAR SALI</t>
  </si>
  <si>
    <t>#2285714083</t>
  </si>
  <si>
    <t>ASHRAF SALI</t>
  </si>
  <si>
    <t>#9160660227</t>
  </si>
  <si>
    <t>RABI USMAN SALI</t>
  </si>
  <si>
    <t>AMINU MUSA</t>
  </si>
  <si>
    <t>#8166364497</t>
  </si>
  <si>
    <t>AMINU YAKUBU MUSA</t>
  </si>
  <si>
    <t>Chairman staffs</t>
  </si>
  <si>
    <t xml:space="preserve">ALI MUSA </t>
  </si>
  <si>
    <t>#1002722750</t>
  </si>
  <si>
    <t>ALIYU MUSA MAIHA</t>
  </si>
  <si>
    <t>ALI  M SAADU</t>
  </si>
  <si>
    <t>DRIVER</t>
  </si>
  <si>
    <t>#2025217160</t>
  </si>
  <si>
    <t>ALIYU M SAADU</t>
  </si>
  <si>
    <t>RUKKAYA SALI</t>
  </si>
  <si>
    <t>ADO BELLO</t>
  </si>
  <si>
    <t>HARUNA ABDULLAHI</t>
  </si>
  <si>
    <t>#2285098385</t>
  </si>
  <si>
    <t>DAN FULANI</t>
  </si>
  <si>
    <t>YUSUF</t>
  </si>
  <si>
    <t>#0543073476</t>
  </si>
  <si>
    <t>YUSUF MUSA ABUBAKAR</t>
  </si>
  <si>
    <t>MAL ABDULRAHED</t>
  </si>
  <si>
    <t>BABAN ABDALLAH</t>
  </si>
  <si>
    <t>HAJJA 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</si>
</sst>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44" fontId="4" fillId="0" borderId="0" xfId="1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4" fillId="0" borderId="1" xfId="1" applyNumberFormat="1" applyFont="1" applyBorder="1" applyAlignment="1">
      <alignment horizontal="center"/>
    </xf>
    <xf numFmtId="0" fontId="2" fillId="0" borderId="0" xfId="0" applyFont="1"/>
    <xf numFmtId="0" fontId="4" fillId="0" borderId="1" xfId="0" applyFont="1" applyBorder="1"/>
    <xf numFmtId="16" fontId="4" fillId="0" borderId="1" xfId="0" applyNumberFormat="1" applyFont="1" applyBorder="1"/>
    <xf numFmtId="44" fontId="4" fillId="0" borderId="1" xfId="1" applyFont="1" applyBorder="1"/>
    <xf numFmtId="9" fontId="4" fillId="0" borderId="1" xfId="2" applyFont="1" applyBorder="1"/>
    <xf numFmtId="9" fontId="4" fillId="0" borderId="0" xfId="2" applyFont="1"/>
    <xf numFmtId="44" fontId="3" fillId="0" borderId="0" xfId="1" applyFont="1"/>
    <xf numFmtId="44" fontId="3" fillId="0" borderId="1" xfId="1" applyFont="1" applyBorder="1"/>
    <xf numFmtId="0" fontId="3" fillId="0" borderId="1" xfId="0" applyFont="1" applyBorder="1"/>
    <xf numFmtId="0" fontId="3" fillId="0" borderId="0" xfId="0" applyFont="1"/>
    <xf numFmtId="0" fontId="3" fillId="0" borderId="1" xfId="1" applyNumberFormat="1" applyFont="1" applyBorder="1"/>
    <xf numFmtId="17" fontId="4" fillId="0" borderId="1" xfId="0" applyNumberFormat="1" applyFont="1" applyBorder="1"/>
    <xf numFmtId="44" fontId="3" fillId="0" borderId="1" xfId="0" applyNumberFormat="1" applyFont="1" applyBorder="1"/>
    <xf numFmtId="9" fontId="3" fillId="0" borderId="1" xfId="2" applyFont="1" applyBorder="1"/>
    <xf numFmtId="44" fontId="4" fillId="0" borderId="1" xfId="0" applyNumberFormat="1" applyFont="1" applyBorder="1"/>
    <xf numFmtId="0" fontId="4" fillId="0" borderId="1" xfId="1" applyNumberFormat="1" applyFont="1" applyBorder="1"/>
    <xf numFmtId="0" fontId="0" fillId="0" borderId="1" xfId="0" applyBorder="1"/>
    <xf numFmtId="44" fontId="1" fillId="0" borderId="0" xfId="1" applyFont="1"/>
    <xf numFmtId="44" fontId="0" fillId="0" borderId="0" xfId="1" applyFont="1"/>
    <xf numFmtId="0" fontId="0" fillId="0" borderId="0" xfId="2" applyNumberFormat="1" applyFont="1"/>
    <xf numFmtId="44" fontId="0" fillId="0" borderId="1" xfId="1" applyFont="1" applyBorder="1"/>
    <xf numFmtId="0" fontId="1" fillId="0" borderId="0" xfId="0" applyFont="1"/>
    <xf numFmtId="44" fontId="0" fillId="0" borderId="0" xfId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02BD-9B90-4605-B883-CD9191D31138}">
  <dimension ref="A1:AA83"/>
  <sheetViews>
    <sheetView tabSelected="1" workbookViewId="0">
      <selection sqref="A1:XFD1048576"/>
    </sheetView>
  </sheetViews>
  <sheetFormatPr defaultColWidth="12.28515625" defaultRowHeight="12.75" x14ac:dyDescent="0.2"/>
  <cols>
    <col min="1" max="1" width="21.140625" style="3" bestFit="1" customWidth="1"/>
    <col min="2" max="2" width="17.85546875" style="3" bestFit="1" customWidth="1"/>
    <col min="3" max="3" width="16.28515625" style="3" customWidth="1"/>
    <col min="4" max="4" width="17.5703125" style="3" bestFit="1" customWidth="1"/>
    <col min="5" max="5" width="11.140625" style="3" bestFit="1" customWidth="1"/>
    <col min="6" max="6" width="5.140625" style="3" customWidth="1"/>
    <col min="7" max="7" width="13.7109375" style="3" bestFit="1" customWidth="1"/>
    <col min="8" max="8" width="3.5703125" style="3" customWidth="1"/>
    <col min="9" max="9" width="4.28515625" style="3" customWidth="1"/>
    <col min="10" max="10" width="13.85546875" style="2" bestFit="1" customWidth="1"/>
    <col min="11" max="13" width="12.28515625" style="2"/>
    <col min="14" max="14" width="22.42578125" style="2" bestFit="1" customWidth="1"/>
    <col min="15" max="15" width="5.7109375" style="2" customWidth="1"/>
    <col min="16" max="16" width="7.42578125" style="2" customWidth="1"/>
    <col min="17" max="17" width="10.28515625" style="2" customWidth="1"/>
    <col min="18" max="18" width="14.42578125" style="2" bestFit="1" customWidth="1"/>
    <col min="19" max="19" width="5.28515625" style="3" bestFit="1" customWidth="1"/>
    <col min="20" max="20" width="12.140625" style="3" bestFit="1" customWidth="1"/>
    <col min="21" max="25" width="13.85546875" style="3" bestFit="1" customWidth="1"/>
    <col min="26" max="26" width="15.28515625" style="3" bestFit="1" customWidth="1"/>
    <col min="27" max="16384" width="12.28515625" style="3"/>
  </cols>
  <sheetData>
    <row r="1" spans="1:2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5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/>
      <c r="O2" s="5"/>
    </row>
    <row r="3" spans="1:25" ht="15" x14ac:dyDescent="0.25">
      <c r="A3" s="7" t="s">
        <v>14</v>
      </c>
      <c r="B3" s="7" t="s">
        <v>15</v>
      </c>
      <c r="C3" s="7"/>
      <c r="D3" s="7"/>
      <c r="E3" s="7" t="s">
        <v>16</v>
      </c>
      <c r="F3" s="7"/>
      <c r="G3" s="8"/>
      <c r="H3" s="9"/>
      <c r="I3" s="8"/>
      <c r="J3" s="8">
        <v>600000</v>
      </c>
      <c r="K3" s="8"/>
      <c r="L3" s="10" t="s">
        <v>17</v>
      </c>
      <c r="M3" s="8" t="s">
        <v>18</v>
      </c>
      <c r="N3" s="8" t="s">
        <v>19</v>
      </c>
      <c r="O3" s="8"/>
      <c r="R3" s="11"/>
      <c r="S3" s="11" t="s">
        <v>20</v>
      </c>
      <c r="T3" s="11" t="s">
        <v>21</v>
      </c>
      <c r="U3" s="12" t="s">
        <v>22</v>
      </c>
      <c r="V3" s="11" t="s">
        <v>23</v>
      </c>
      <c r="W3" s="11" t="s">
        <v>24</v>
      </c>
      <c r="X3" s="11" t="s">
        <v>25</v>
      </c>
      <c r="Y3" s="11"/>
    </row>
    <row r="4" spans="1:25" s="19" customFormat="1" x14ac:dyDescent="0.2">
      <c r="A4" s="11" t="s">
        <v>26</v>
      </c>
      <c r="B4" s="11" t="s">
        <v>27</v>
      </c>
      <c r="C4" s="11"/>
      <c r="D4" s="11"/>
      <c r="E4" s="11" t="s">
        <v>16</v>
      </c>
      <c r="F4" s="11">
        <v>17</v>
      </c>
      <c r="G4" s="13">
        <v>279000</v>
      </c>
      <c r="H4" s="11">
        <f>VLOOKUP(E4, R$5:S$10, 2, FALSE)</f>
        <v>6</v>
      </c>
      <c r="I4" s="11">
        <f>VLOOKUP(F4, R$13:S$33, 2, FALSE)</f>
        <v>5</v>
      </c>
      <c r="J4" s="13">
        <v>350000</v>
      </c>
      <c r="K4" s="13">
        <f>J4-G4</f>
        <v>71000</v>
      </c>
      <c r="L4" s="13" t="s">
        <v>28</v>
      </c>
      <c r="M4" s="13" t="s">
        <v>29</v>
      </c>
      <c r="N4" s="13" t="s">
        <v>30</v>
      </c>
      <c r="O4" s="14">
        <f t="shared" ref="O4:O13" si="0">K4/J4</f>
        <v>0.20285714285714285</v>
      </c>
      <c r="P4" s="15">
        <f t="shared" ref="P4" si="1">K4/G4</f>
        <v>0.25448028673835127</v>
      </c>
      <c r="Q4" s="16"/>
      <c r="R4" s="17"/>
      <c r="S4" s="18" t="s">
        <v>31</v>
      </c>
      <c r="T4" s="18">
        <v>1</v>
      </c>
      <c r="U4" s="18">
        <v>2</v>
      </c>
      <c r="V4" s="18">
        <v>3</v>
      </c>
      <c r="W4" s="18">
        <v>4</v>
      </c>
      <c r="X4" s="18">
        <v>5</v>
      </c>
      <c r="Y4" s="18">
        <v>6</v>
      </c>
    </row>
    <row r="5" spans="1:25" x14ac:dyDescent="0.2">
      <c r="A5" s="18" t="s">
        <v>32</v>
      </c>
      <c r="B5" s="18"/>
      <c r="C5" s="18"/>
      <c r="D5" s="18"/>
      <c r="E5" s="18"/>
      <c r="F5" s="18"/>
      <c r="G5" s="17"/>
      <c r="H5" s="20"/>
      <c r="I5" s="17"/>
      <c r="J5" s="13"/>
      <c r="K5" s="13"/>
      <c r="L5" s="13"/>
      <c r="M5" s="13"/>
      <c r="N5" s="13"/>
      <c r="O5" s="14"/>
      <c r="P5" s="15"/>
      <c r="R5" s="11" t="s">
        <v>33</v>
      </c>
      <c r="S5" s="11">
        <v>1</v>
      </c>
      <c r="T5" s="13">
        <v>20000</v>
      </c>
      <c r="U5" s="13">
        <v>26000</v>
      </c>
      <c r="V5" s="13">
        <v>33000</v>
      </c>
      <c r="W5" s="13">
        <v>40000</v>
      </c>
      <c r="X5" s="13">
        <v>46500</v>
      </c>
      <c r="Y5" s="13">
        <v>53200</v>
      </c>
    </row>
    <row r="6" spans="1:25" x14ac:dyDescent="0.2">
      <c r="A6" s="11" t="s">
        <v>34</v>
      </c>
      <c r="B6" s="11" t="s">
        <v>35</v>
      </c>
      <c r="C6" s="11" t="s">
        <v>36</v>
      </c>
      <c r="D6" s="11" t="s">
        <v>37</v>
      </c>
      <c r="E6" s="11" t="s">
        <v>38</v>
      </c>
      <c r="F6" s="11">
        <v>17</v>
      </c>
      <c r="G6" s="13">
        <v>70000</v>
      </c>
      <c r="H6" s="11">
        <f t="shared" ref="H6:H12" si="2">VLOOKUP(E6, R$5:S$10, 2, FALSE)</f>
        <v>4</v>
      </c>
      <c r="I6" s="11">
        <f t="shared" ref="I6:I12" si="3">VLOOKUP(F6, R$13:S$33, 2, FALSE)</f>
        <v>5</v>
      </c>
      <c r="J6" s="13">
        <f t="shared" ref="J6:J12" si="4">INDEX($T$5:$Y$10, MATCH(H6, $S$5:$S$10, 0), MATCH(I6, $T$4:$X$4, 0))</f>
        <v>140000</v>
      </c>
      <c r="K6" s="13">
        <f t="shared" ref="K6:K52" si="5">J6-G6</f>
        <v>70000</v>
      </c>
      <c r="L6" s="13" t="s">
        <v>39</v>
      </c>
      <c r="M6" s="13" t="s">
        <v>29</v>
      </c>
      <c r="N6" s="13" t="s">
        <v>34</v>
      </c>
      <c r="O6" s="14">
        <f t="shared" si="0"/>
        <v>0.5</v>
      </c>
      <c r="P6" s="15">
        <f>K6/G6</f>
        <v>1</v>
      </c>
      <c r="R6" s="11" t="s">
        <v>40</v>
      </c>
      <c r="S6" s="11">
        <v>2</v>
      </c>
      <c r="T6" s="13">
        <v>33000</v>
      </c>
      <c r="U6" s="13">
        <v>40000</v>
      </c>
      <c r="V6" s="13">
        <v>50000</v>
      </c>
      <c r="W6" s="13">
        <v>60000</v>
      </c>
      <c r="X6" s="13">
        <v>70000</v>
      </c>
      <c r="Y6" s="13">
        <v>80000</v>
      </c>
    </row>
    <row r="7" spans="1:25" x14ac:dyDescent="0.2">
      <c r="A7" s="11" t="s">
        <v>41</v>
      </c>
      <c r="B7" s="11" t="s">
        <v>42</v>
      </c>
      <c r="C7" s="11" t="s">
        <v>36</v>
      </c>
      <c r="D7" s="11" t="s">
        <v>43</v>
      </c>
      <c r="E7" s="11" t="s">
        <v>44</v>
      </c>
      <c r="F7" s="11">
        <v>10</v>
      </c>
      <c r="G7" s="13">
        <v>63000</v>
      </c>
      <c r="H7" s="11">
        <f t="shared" si="2"/>
        <v>3</v>
      </c>
      <c r="I7" s="11">
        <f t="shared" si="3"/>
        <v>3</v>
      </c>
      <c r="J7" s="13">
        <f t="shared" si="4"/>
        <v>90000</v>
      </c>
      <c r="K7" s="13">
        <f t="shared" si="5"/>
        <v>27000</v>
      </c>
      <c r="L7" s="13" t="s">
        <v>45</v>
      </c>
      <c r="M7" s="13" t="s">
        <v>46</v>
      </c>
      <c r="N7" s="13" t="s">
        <v>47</v>
      </c>
      <c r="O7" s="14">
        <f t="shared" si="0"/>
        <v>0.3</v>
      </c>
      <c r="P7" s="15">
        <f t="shared" ref="P7:P25" si="6">K7/G7</f>
        <v>0.42857142857142855</v>
      </c>
      <c r="Q7" s="15"/>
      <c r="R7" s="11" t="s">
        <v>48</v>
      </c>
      <c r="S7" s="11">
        <v>3</v>
      </c>
      <c r="T7" s="13">
        <v>50000</v>
      </c>
      <c r="U7" s="13">
        <v>70000</v>
      </c>
      <c r="V7" s="13">
        <v>90000</v>
      </c>
      <c r="W7" s="13">
        <v>100000</v>
      </c>
      <c r="X7" s="13">
        <v>120000</v>
      </c>
      <c r="Y7" s="13">
        <v>130000</v>
      </c>
    </row>
    <row r="8" spans="1:25" x14ac:dyDescent="0.2">
      <c r="A8" s="11" t="s">
        <v>49</v>
      </c>
      <c r="B8" s="11" t="s">
        <v>50</v>
      </c>
      <c r="C8" s="11" t="s">
        <v>51</v>
      </c>
      <c r="D8" s="11" t="s">
        <v>52</v>
      </c>
      <c r="E8" s="11" t="s">
        <v>44</v>
      </c>
      <c r="F8" s="11">
        <v>3</v>
      </c>
      <c r="G8" s="13">
        <v>40000</v>
      </c>
      <c r="H8" s="11">
        <f t="shared" si="2"/>
        <v>3</v>
      </c>
      <c r="I8" s="11">
        <f t="shared" si="3"/>
        <v>2</v>
      </c>
      <c r="J8" s="13">
        <f t="shared" si="4"/>
        <v>70000</v>
      </c>
      <c r="K8" s="13">
        <f t="shared" si="5"/>
        <v>30000</v>
      </c>
      <c r="L8" s="13" t="s">
        <v>53</v>
      </c>
      <c r="M8" s="13" t="s">
        <v>54</v>
      </c>
      <c r="N8" s="13" t="s">
        <v>55</v>
      </c>
      <c r="O8" s="14">
        <f t="shared" si="0"/>
        <v>0.42857142857142855</v>
      </c>
      <c r="P8" s="15">
        <f t="shared" si="6"/>
        <v>0.75</v>
      </c>
      <c r="Q8" s="15"/>
      <c r="R8" s="11" t="s">
        <v>38</v>
      </c>
      <c r="S8" s="11">
        <v>4</v>
      </c>
      <c r="T8" s="13">
        <v>80000</v>
      </c>
      <c r="U8" s="13">
        <v>100000</v>
      </c>
      <c r="V8" s="13">
        <v>120000</v>
      </c>
      <c r="W8" s="13">
        <v>130000</v>
      </c>
      <c r="X8" s="13">
        <v>140000</v>
      </c>
      <c r="Y8" s="13">
        <v>150000</v>
      </c>
    </row>
    <row r="9" spans="1:25" x14ac:dyDescent="0.2">
      <c r="A9" s="11" t="s">
        <v>56</v>
      </c>
      <c r="B9" s="11" t="s">
        <v>57</v>
      </c>
      <c r="C9" s="11" t="s">
        <v>58</v>
      </c>
      <c r="D9" s="21" t="s">
        <v>59</v>
      </c>
      <c r="E9" s="11" t="s">
        <v>40</v>
      </c>
      <c r="F9" s="11">
        <v>12</v>
      </c>
      <c r="G9" s="13">
        <v>40000</v>
      </c>
      <c r="H9" s="11">
        <f t="shared" si="2"/>
        <v>2</v>
      </c>
      <c r="I9" s="11">
        <f t="shared" si="3"/>
        <v>4</v>
      </c>
      <c r="J9" s="13">
        <f t="shared" si="4"/>
        <v>60000</v>
      </c>
      <c r="K9" s="13">
        <f t="shared" si="5"/>
        <v>20000</v>
      </c>
      <c r="L9" s="13" t="s">
        <v>60</v>
      </c>
      <c r="M9" s="13" t="s">
        <v>61</v>
      </c>
      <c r="N9" s="13" t="s">
        <v>62</v>
      </c>
      <c r="O9" s="14">
        <f t="shared" si="0"/>
        <v>0.33333333333333331</v>
      </c>
      <c r="P9" s="15">
        <f t="shared" si="6"/>
        <v>0.5</v>
      </c>
      <c r="Q9" s="15"/>
      <c r="R9" s="11" t="s">
        <v>63</v>
      </c>
      <c r="S9" s="11">
        <v>5</v>
      </c>
      <c r="T9" s="13">
        <v>100000</v>
      </c>
      <c r="U9" s="13">
        <v>130000</v>
      </c>
      <c r="V9" s="13">
        <v>150000</v>
      </c>
      <c r="W9" s="13">
        <v>180000</v>
      </c>
      <c r="X9" s="13">
        <v>200000</v>
      </c>
      <c r="Y9" s="13">
        <v>230000</v>
      </c>
    </row>
    <row r="10" spans="1:25" x14ac:dyDescent="0.2">
      <c r="A10" s="11" t="s">
        <v>64</v>
      </c>
      <c r="B10" s="11" t="s">
        <v>65</v>
      </c>
      <c r="C10" s="11" t="s">
        <v>66</v>
      </c>
      <c r="D10" s="21" t="s">
        <v>67</v>
      </c>
      <c r="E10" s="11" t="s">
        <v>68</v>
      </c>
      <c r="F10" s="11">
        <v>12</v>
      </c>
      <c r="G10" s="13">
        <v>24000</v>
      </c>
      <c r="H10" s="11">
        <f t="shared" si="2"/>
        <v>1</v>
      </c>
      <c r="I10" s="11">
        <f t="shared" si="3"/>
        <v>4</v>
      </c>
      <c r="J10" s="13">
        <f t="shared" si="4"/>
        <v>40000</v>
      </c>
      <c r="K10" s="13">
        <f t="shared" si="5"/>
        <v>16000</v>
      </c>
      <c r="L10" s="13" t="s">
        <v>69</v>
      </c>
      <c r="M10" s="13" t="s">
        <v>29</v>
      </c>
      <c r="N10" s="13" t="s">
        <v>70</v>
      </c>
      <c r="O10" s="14">
        <f t="shared" si="0"/>
        <v>0.4</v>
      </c>
      <c r="P10" s="15">
        <f t="shared" si="6"/>
        <v>0.66666666666666663</v>
      </c>
      <c r="Q10" s="15"/>
      <c r="R10" s="11" t="s">
        <v>16</v>
      </c>
      <c r="S10" s="11">
        <v>6</v>
      </c>
      <c r="T10" s="13">
        <v>130000</v>
      </c>
      <c r="U10" s="13">
        <v>150000</v>
      </c>
      <c r="V10" s="13">
        <v>200000</v>
      </c>
      <c r="W10" s="13">
        <v>250000</v>
      </c>
      <c r="X10" s="13">
        <v>310000</v>
      </c>
      <c r="Y10" s="13">
        <v>330000</v>
      </c>
    </row>
    <row r="11" spans="1:25" x14ac:dyDescent="0.2">
      <c r="A11" s="11" t="s">
        <v>71</v>
      </c>
      <c r="B11" s="11" t="s">
        <v>72</v>
      </c>
      <c r="C11" s="11" t="s">
        <v>73</v>
      </c>
      <c r="D11" s="21" t="s">
        <v>74</v>
      </c>
      <c r="E11" s="11" t="s">
        <v>68</v>
      </c>
      <c r="F11" s="11">
        <v>9</v>
      </c>
      <c r="G11" s="13">
        <v>18000</v>
      </c>
      <c r="H11" s="11">
        <f t="shared" si="2"/>
        <v>1</v>
      </c>
      <c r="I11" s="11">
        <f t="shared" si="3"/>
        <v>3</v>
      </c>
      <c r="J11" s="13">
        <f t="shared" si="4"/>
        <v>33000</v>
      </c>
      <c r="K11" s="13">
        <f t="shared" si="5"/>
        <v>15000</v>
      </c>
      <c r="L11" s="13" t="s">
        <v>75</v>
      </c>
      <c r="M11" s="13" t="s">
        <v>76</v>
      </c>
      <c r="N11" s="13" t="s">
        <v>77</v>
      </c>
      <c r="O11" s="14">
        <f t="shared" si="0"/>
        <v>0.45454545454545453</v>
      </c>
      <c r="P11" s="15">
        <f t="shared" si="6"/>
        <v>0.83333333333333337</v>
      </c>
      <c r="Q11" s="15"/>
    </row>
    <row r="12" spans="1:25" x14ac:dyDescent="0.2">
      <c r="A12" s="11" t="s">
        <v>78</v>
      </c>
      <c r="B12" s="11" t="s">
        <v>79</v>
      </c>
      <c r="C12" s="11" t="s">
        <v>80</v>
      </c>
      <c r="D12" s="11" t="s">
        <v>81</v>
      </c>
      <c r="E12" s="11" t="s">
        <v>68</v>
      </c>
      <c r="F12" s="11">
        <v>9</v>
      </c>
      <c r="G12" s="13">
        <v>15000</v>
      </c>
      <c r="H12" s="11">
        <f t="shared" si="2"/>
        <v>1</v>
      </c>
      <c r="I12" s="11">
        <f t="shared" si="3"/>
        <v>3</v>
      </c>
      <c r="J12" s="13">
        <f t="shared" si="4"/>
        <v>33000</v>
      </c>
      <c r="K12" s="13">
        <f t="shared" si="5"/>
        <v>18000</v>
      </c>
      <c r="L12" s="13"/>
      <c r="M12" s="13"/>
      <c r="N12" s="13"/>
      <c r="O12" s="14">
        <f t="shared" si="0"/>
        <v>0.54545454545454541</v>
      </c>
      <c r="P12" s="15">
        <f t="shared" si="6"/>
        <v>1.2</v>
      </c>
      <c r="Q12" s="15"/>
      <c r="R12" s="11" t="s">
        <v>20</v>
      </c>
      <c r="S12" s="11" t="s">
        <v>31</v>
      </c>
    </row>
    <row r="13" spans="1:25" x14ac:dyDescent="0.2">
      <c r="A13" s="11"/>
      <c r="B13" s="11"/>
      <c r="C13" s="11"/>
      <c r="D13" s="11"/>
      <c r="E13" s="11"/>
      <c r="F13" s="11"/>
      <c r="G13" s="22">
        <f>SUM(G6:G12)</f>
        <v>270000</v>
      </c>
      <c r="H13" s="22"/>
      <c r="I13" s="22"/>
      <c r="J13" s="22">
        <f t="shared" ref="J13:K13" si="7">SUM(J6:J12)</f>
        <v>466000</v>
      </c>
      <c r="K13" s="22">
        <f t="shared" si="7"/>
        <v>196000</v>
      </c>
      <c r="L13" s="22"/>
      <c r="M13" s="22"/>
      <c r="N13" s="22"/>
      <c r="O13" s="23">
        <f t="shared" si="0"/>
        <v>0.42060085836909872</v>
      </c>
      <c r="P13" s="15">
        <f t="shared" si="6"/>
        <v>0.72592592592592597</v>
      </c>
      <c r="Q13" s="15"/>
      <c r="R13" s="11">
        <v>1</v>
      </c>
      <c r="S13" s="11">
        <v>1</v>
      </c>
      <c r="U13" s="11"/>
      <c r="V13" s="11"/>
      <c r="W13" s="11"/>
      <c r="X13" s="11"/>
    </row>
    <row r="14" spans="1:2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4"/>
      <c r="P14" s="15"/>
      <c r="Q14" s="15"/>
      <c r="R14" s="11">
        <v>2</v>
      </c>
      <c r="S14" s="11">
        <v>1</v>
      </c>
      <c r="U14" s="11"/>
      <c r="V14" s="13"/>
      <c r="W14" s="24"/>
      <c r="X14" s="24"/>
    </row>
    <row r="15" spans="1:25" x14ac:dyDescent="0.2">
      <c r="A15" s="18" t="s">
        <v>82</v>
      </c>
      <c r="B15" s="11"/>
      <c r="C15" s="11"/>
      <c r="D15" s="11"/>
      <c r="E15" s="11"/>
      <c r="F15" s="11"/>
      <c r="G15" s="13"/>
      <c r="H15" s="11"/>
      <c r="I15" s="11"/>
      <c r="J15" s="13"/>
      <c r="K15" s="13"/>
      <c r="L15" s="13"/>
      <c r="M15" s="13"/>
      <c r="N15" s="13"/>
      <c r="O15" s="14"/>
      <c r="P15" s="15"/>
      <c r="Q15" s="15"/>
      <c r="R15" s="11">
        <v>3</v>
      </c>
      <c r="S15" s="11">
        <v>2</v>
      </c>
      <c r="U15" s="11"/>
      <c r="V15" s="13"/>
      <c r="W15" s="24"/>
      <c r="X15" s="24"/>
    </row>
    <row r="16" spans="1:25" x14ac:dyDescent="0.2">
      <c r="A16" s="11" t="s">
        <v>83</v>
      </c>
      <c r="B16" s="11" t="s">
        <v>35</v>
      </c>
      <c r="C16" s="11" t="s">
        <v>73</v>
      </c>
      <c r="D16" s="11" t="s">
        <v>84</v>
      </c>
      <c r="E16" s="11" t="s">
        <v>44</v>
      </c>
      <c r="F16" s="11">
        <v>17</v>
      </c>
      <c r="G16" s="13">
        <v>90000</v>
      </c>
      <c r="H16" s="11">
        <f t="shared" ref="H16:H27" si="8">VLOOKUP(E16, R$5:S$10, 2, FALSE)</f>
        <v>3</v>
      </c>
      <c r="I16" s="11">
        <f t="shared" ref="I16:I27" si="9">VLOOKUP(F16, R$13:S$33, 2, FALSE)</f>
        <v>5</v>
      </c>
      <c r="J16" s="13">
        <f t="shared" ref="J16:J26" si="10">INDEX($T$5:$Y$10, MATCH(H16, $S$5:$S$10, 0), MATCH(I16, $T$4:$X$4, 0))</f>
        <v>120000</v>
      </c>
      <c r="K16" s="13">
        <f t="shared" si="5"/>
        <v>30000</v>
      </c>
      <c r="L16" s="13" t="s">
        <v>85</v>
      </c>
      <c r="M16" s="13" t="s">
        <v>76</v>
      </c>
      <c r="N16" s="13" t="s">
        <v>86</v>
      </c>
      <c r="O16" s="14">
        <f t="shared" ref="O16:O25" si="11">K16/J16</f>
        <v>0.25</v>
      </c>
      <c r="P16" s="15">
        <f t="shared" si="6"/>
        <v>0.33333333333333331</v>
      </c>
      <c r="Q16" s="15"/>
      <c r="R16" s="11">
        <v>4</v>
      </c>
      <c r="S16" s="11">
        <v>2</v>
      </c>
      <c r="U16" s="11"/>
      <c r="V16" s="13"/>
      <c r="W16" s="24"/>
      <c r="X16" s="24"/>
    </row>
    <row r="17" spans="1:27" x14ac:dyDescent="0.2">
      <c r="A17" s="11" t="s">
        <v>87</v>
      </c>
      <c r="B17" s="11" t="s">
        <v>88</v>
      </c>
      <c r="C17" s="11" t="s">
        <v>36</v>
      </c>
      <c r="D17" s="11" t="s">
        <v>89</v>
      </c>
      <c r="E17" s="11" t="s">
        <v>44</v>
      </c>
      <c r="F17" s="11">
        <v>15</v>
      </c>
      <c r="G17" s="13">
        <v>60000</v>
      </c>
      <c r="H17" s="11">
        <f t="shared" si="8"/>
        <v>3</v>
      </c>
      <c r="I17" s="11">
        <f t="shared" si="9"/>
        <v>4</v>
      </c>
      <c r="J17" s="13">
        <f t="shared" si="10"/>
        <v>100000</v>
      </c>
      <c r="K17" s="13">
        <f t="shared" si="5"/>
        <v>40000</v>
      </c>
      <c r="L17" s="13" t="s">
        <v>90</v>
      </c>
      <c r="M17" s="13" t="s">
        <v>76</v>
      </c>
      <c r="N17" s="13" t="s">
        <v>91</v>
      </c>
      <c r="O17" s="14">
        <f t="shared" si="11"/>
        <v>0.4</v>
      </c>
      <c r="P17" s="15">
        <f t="shared" si="6"/>
        <v>0.66666666666666663</v>
      </c>
      <c r="Q17" s="15"/>
      <c r="R17" s="11">
        <v>5</v>
      </c>
      <c r="S17" s="11">
        <v>2</v>
      </c>
      <c r="U17" s="11"/>
      <c r="V17" s="13"/>
      <c r="W17" s="24"/>
      <c r="X17" s="24"/>
    </row>
    <row r="18" spans="1:27" x14ac:dyDescent="0.2">
      <c r="A18" s="11" t="s">
        <v>92</v>
      </c>
      <c r="B18" s="11" t="s">
        <v>93</v>
      </c>
      <c r="C18" s="11" t="s">
        <v>58</v>
      </c>
      <c r="D18" s="11" t="s">
        <v>94</v>
      </c>
      <c r="E18" s="11" t="s">
        <v>95</v>
      </c>
      <c r="F18" s="11">
        <v>4</v>
      </c>
      <c r="G18" s="13">
        <v>70000</v>
      </c>
      <c r="H18" s="11">
        <f t="shared" si="8"/>
        <v>4</v>
      </c>
      <c r="I18" s="11">
        <f t="shared" si="9"/>
        <v>2</v>
      </c>
      <c r="J18" s="13">
        <f t="shared" si="10"/>
        <v>100000</v>
      </c>
      <c r="K18" s="13">
        <f>J18-G18</f>
        <v>30000</v>
      </c>
      <c r="L18" s="13" t="s">
        <v>96</v>
      </c>
      <c r="M18" s="13" t="s">
        <v>97</v>
      </c>
      <c r="N18" s="13" t="s">
        <v>92</v>
      </c>
      <c r="O18" s="14">
        <f>K18/J18</f>
        <v>0.3</v>
      </c>
      <c r="P18" s="15">
        <f>K18/G18</f>
        <v>0.42857142857142855</v>
      </c>
      <c r="Q18" s="15"/>
      <c r="R18" s="11">
        <v>6</v>
      </c>
      <c r="S18" s="11">
        <v>3</v>
      </c>
      <c r="U18" s="11"/>
      <c r="V18" s="11"/>
      <c r="W18" s="24"/>
      <c r="X18" s="24"/>
    </row>
    <row r="19" spans="1:27" x14ac:dyDescent="0.2">
      <c r="A19" s="11" t="s">
        <v>98</v>
      </c>
      <c r="B19" s="11" t="s">
        <v>99</v>
      </c>
      <c r="C19" s="11" t="s">
        <v>73</v>
      </c>
      <c r="D19" s="11" t="s">
        <v>100</v>
      </c>
      <c r="E19" s="11" t="s">
        <v>40</v>
      </c>
      <c r="F19" s="11">
        <v>16</v>
      </c>
      <c r="G19" s="13">
        <v>52000</v>
      </c>
      <c r="H19" s="11">
        <f t="shared" si="8"/>
        <v>2</v>
      </c>
      <c r="I19" s="11">
        <f t="shared" si="9"/>
        <v>5</v>
      </c>
      <c r="J19" s="13">
        <f t="shared" si="10"/>
        <v>70000</v>
      </c>
      <c r="K19" s="13">
        <f t="shared" si="5"/>
        <v>18000</v>
      </c>
      <c r="L19" s="13" t="s">
        <v>101</v>
      </c>
      <c r="M19" s="13" t="s">
        <v>102</v>
      </c>
      <c r="N19" s="13" t="s">
        <v>103</v>
      </c>
      <c r="O19" s="14">
        <f t="shared" si="11"/>
        <v>0.25714285714285712</v>
      </c>
      <c r="P19" s="15">
        <f t="shared" si="6"/>
        <v>0.34615384615384615</v>
      </c>
      <c r="Q19" s="15"/>
      <c r="R19" s="25">
        <v>7</v>
      </c>
      <c r="S19" s="11">
        <v>3</v>
      </c>
      <c r="U19" s="11"/>
      <c r="V19" s="11"/>
      <c r="W19" s="24"/>
      <c r="X19" s="24"/>
    </row>
    <row r="20" spans="1:27" ht="15" x14ac:dyDescent="0.25">
      <c r="A20" s="11" t="s">
        <v>104</v>
      </c>
      <c r="B20" s="11" t="s">
        <v>57</v>
      </c>
      <c r="C20" s="11" t="s">
        <v>105</v>
      </c>
      <c r="D20" s="11" t="s">
        <v>106</v>
      </c>
      <c r="E20" s="11" t="s">
        <v>40</v>
      </c>
      <c r="F20" s="11">
        <v>12</v>
      </c>
      <c r="G20" s="13">
        <v>32000</v>
      </c>
      <c r="H20" s="11">
        <f t="shared" si="8"/>
        <v>2</v>
      </c>
      <c r="I20" s="11">
        <f t="shared" si="9"/>
        <v>4</v>
      </c>
      <c r="J20" s="13">
        <f t="shared" si="10"/>
        <v>60000</v>
      </c>
      <c r="K20" s="13">
        <f t="shared" si="5"/>
        <v>28000</v>
      </c>
      <c r="L20" s="13" t="s">
        <v>107</v>
      </c>
      <c r="M20" s="13" t="s">
        <v>108</v>
      </c>
      <c r="N20" s="13" t="s">
        <v>109</v>
      </c>
      <c r="O20" s="14">
        <f t="shared" si="11"/>
        <v>0.46666666666666667</v>
      </c>
      <c r="P20" s="15">
        <f t="shared" si="6"/>
        <v>0.875</v>
      </c>
      <c r="Q20" s="15"/>
      <c r="R20" s="25">
        <v>8</v>
      </c>
      <c r="S20" s="11">
        <v>3</v>
      </c>
      <c r="U20" s="11"/>
      <c r="V20" s="22"/>
      <c r="W20" s="22"/>
      <c r="X20" s="22"/>
      <c r="AA20"/>
    </row>
    <row r="21" spans="1:27" ht="15" x14ac:dyDescent="0.25">
      <c r="A21" s="11" t="s">
        <v>110</v>
      </c>
      <c r="B21" s="3" t="s">
        <v>111</v>
      </c>
      <c r="C21" s="3" t="s">
        <v>73</v>
      </c>
      <c r="D21" s="3" t="s">
        <v>112</v>
      </c>
      <c r="E21" s="11" t="s">
        <v>68</v>
      </c>
      <c r="F21" s="11">
        <v>3</v>
      </c>
      <c r="G21" s="13">
        <v>20000</v>
      </c>
      <c r="H21" s="11">
        <f t="shared" si="8"/>
        <v>1</v>
      </c>
      <c r="I21" s="11">
        <f t="shared" si="9"/>
        <v>2</v>
      </c>
      <c r="J21" s="13">
        <f t="shared" si="10"/>
        <v>26000</v>
      </c>
      <c r="K21" s="13">
        <f t="shared" si="5"/>
        <v>6000</v>
      </c>
      <c r="L21" s="13" t="s">
        <v>113</v>
      </c>
      <c r="M21" s="13" t="s">
        <v>114</v>
      </c>
      <c r="N21" s="13" t="s">
        <v>115</v>
      </c>
      <c r="O21" s="14">
        <f t="shared" si="11"/>
        <v>0.23076923076923078</v>
      </c>
      <c r="P21" s="15">
        <f t="shared" si="6"/>
        <v>0.3</v>
      </c>
      <c r="Q21" s="15"/>
      <c r="R21" s="25">
        <v>9</v>
      </c>
      <c r="S21" s="11">
        <v>3</v>
      </c>
      <c r="U21" s="11"/>
      <c r="V21" s="11"/>
      <c r="W21" s="11"/>
      <c r="X21" s="26"/>
      <c r="AA21" s="27"/>
    </row>
    <row r="22" spans="1:27" ht="15" x14ac:dyDescent="0.25">
      <c r="A22" s="11" t="s">
        <v>116</v>
      </c>
      <c r="B22" s="11" t="s">
        <v>79</v>
      </c>
      <c r="C22" s="11"/>
      <c r="D22" s="11"/>
      <c r="E22" s="11" t="s">
        <v>68</v>
      </c>
      <c r="F22" s="11">
        <v>1</v>
      </c>
      <c r="G22" s="13">
        <v>15000</v>
      </c>
      <c r="H22" s="11">
        <f t="shared" si="8"/>
        <v>1</v>
      </c>
      <c r="I22" s="11">
        <f t="shared" si="9"/>
        <v>1</v>
      </c>
      <c r="J22" s="13">
        <v>15000</v>
      </c>
      <c r="K22" s="13">
        <f t="shared" si="5"/>
        <v>0</v>
      </c>
      <c r="L22" s="13" t="s">
        <v>117</v>
      </c>
      <c r="M22" s="13" t="s">
        <v>108</v>
      </c>
      <c r="N22" s="13" t="s">
        <v>118</v>
      </c>
      <c r="O22" s="14">
        <f t="shared" si="11"/>
        <v>0</v>
      </c>
      <c r="P22" s="15">
        <f t="shared" si="6"/>
        <v>0</v>
      </c>
      <c r="Q22" s="15"/>
      <c r="R22" s="25">
        <v>10</v>
      </c>
      <c r="S22" s="11">
        <v>3</v>
      </c>
      <c r="U22" s="11"/>
      <c r="V22" s="13"/>
      <c r="W22" s="13"/>
      <c r="X22" s="13"/>
      <c r="AA22" s="27"/>
    </row>
    <row r="23" spans="1:27" ht="15" x14ac:dyDescent="0.25">
      <c r="A23" s="11" t="s">
        <v>119</v>
      </c>
      <c r="B23" s="11" t="s">
        <v>120</v>
      </c>
      <c r="C23" s="11" t="s">
        <v>105</v>
      </c>
      <c r="D23" s="11" t="s">
        <v>121</v>
      </c>
      <c r="E23" s="11" t="s">
        <v>40</v>
      </c>
      <c r="F23" s="11">
        <v>1</v>
      </c>
      <c r="G23" s="13">
        <v>25000</v>
      </c>
      <c r="H23" s="11">
        <f t="shared" si="8"/>
        <v>2</v>
      </c>
      <c r="I23" s="11">
        <f t="shared" si="9"/>
        <v>1</v>
      </c>
      <c r="J23" s="13">
        <f t="shared" si="10"/>
        <v>33000</v>
      </c>
      <c r="K23" s="13">
        <f t="shared" si="5"/>
        <v>8000</v>
      </c>
      <c r="L23" s="13" t="s">
        <v>122</v>
      </c>
      <c r="M23" s="13" t="s">
        <v>108</v>
      </c>
      <c r="N23" s="13" t="s">
        <v>119</v>
      </c>
      <c r="O23" s="14">
        <f t="shared" si="11"/>
        <v>0.24242424242424243</v>
      </c>
      <c r="P23" s="15">
        <f t="shared" si="6"/>
        <v>0.32</v>
      </c>
      <c r="Q23" s="15"/>
      <c r="R23" s="25">
        <v>11</v>
      </c>
      <c r="S23" s="11">
        <v>4</v>
      </c>
      <c r="U23" s="11"/>
      <c r="V23" s="13"/>
      <c r="W23" s="13"/>
      <c r="X23" s="13"/>
      <c r="AA23" s="28"/>
    </row>
    <row r="24" spans="1:27" ht="15" x14ac:dyDescent="0.25">
      <c r="A24" s="11" t="s">
        <v>123</v>
      </c>
      <c r="B24" s="11" t="s">
        <v>65</v>
      </c>
      <c r="C24" s="11" t="s">
        <v>124</v>
      </c>
      <c r="D24" s="11" t="s">
        <v>125</v>
      </c>
      <c r="E24" s="11" t="s">
        <v>68</v>
      </c>
      <c r="F24" s="11">
        <v>1</v>
      </c>
      <c r="G24" s="13">
        <v>15000</v>
      </c>
      <c r="H24" s="11">
        <f t="shared" si="8"/>
        <v>1</v>
      </c>
      <c r="I24" s="11">
        <f t="shared" si="9"/>
        <v>1</v>
      </c>
      <c r="J24" s="13">
        <f t="shared" si="10"/>
        <v>20000</v>
      </c>
      <c r="K24" s="13">
        <f t="shared" si="5"/>
        <v>5000</v>
      </c>
      <c r="L24" s="13" t="s">
        <v>126</v>
      </c>
      <c r="M24" s="13" t="s">
        <v>127</v>
      </c>
      <c r="N24" s="13" t="s">
        <v>123</v>
      </c>
      <c r="O24" s="14">
        <f t="shared" si="11"/>
        <v>0.25</v>
      </c>
      <c r="P24" s="15">
        <f t="shared" si="6"/>
        <v>0.33333333333333331</v>
      </c>
      <c r="Q24" s="15"/>
      <c r="R24" s="25">
        <v>12</v>
      </c>
      <c r="S24" s="11">
        <v>4</v>
      </c>
      <c r="U24" s="11"/>
      <c r="V24" s="13"/>
      <c r="W24" s="13"/>
      <c r="X24" s="13"/>
      <c r="AA24" s="28"/>
    </row>
    <row r="25" spans="1:27" ht="15" x14ac:dyDescent="0.25">
      <c r="A25" s="11" t="s">
        <v>128</v>
      </c>
      <c r="B25" s="11" t="s">
        <v>129</v>
      </c>
      <c r="C25" s="11" t="s">
        <v>105</v>
      </c>
      <c r="D25" s="11" t="s">
        <v>130</v>
      </c>
      <c r="E25" s="11" t="s">
        <v>68</v>
      </c>
      <c r="F25" s="11">
        <v>2</v>
      </c>
      <c r="G25" s="13">
        <v>20000</v>
      </c>
      <c r="H25" s="11">
        <f t="shared" si="8"/>
        <v>1</v>
      </c>
      <c r="I25" s="11">
        <f t="shared" si="9"/>
        <v>1</v>
      </c>
      <c r="J25" s="13">
        <f t="shared" si="10"/>
        <v>20000</v>
      </c>
      <c r="K25" s="13">
        <f t="shared" si="5"/>
        <v>0</v>
      </c>
      <c r="L25" s="13" t="s">
        <v>131</v>
      </c>
      <c r="M25" s="13" t="s">
        <v>132</v>
      </c>
      <c r="N25" s="13" t="s">
        <v>128</v>
      </c>
      <c r="O25" s="14">
        <f t="shared" si="11"/>
        <v>0</v>
      </c>
      <c r="P25" s="15">
        <f t="shared" si="6"/>
        <v>0</v>
      </c>
      <c r="Q25" s="15"/>
      <c r="R25" s="25">
        <v>13</v>
      </c>
      <c r="S25" s="11">
        <v>4</v>
      </c>
      <c r="U25" s="11"/>
      <c r="V25" s="13"/>
      <c r="W25" s="13"/>
      <c r="X25" s="13"/>
      <c r="AA25"/>
    </row>
    <row r="26" spans="1:27" ht="15" x14ac:dyDescent="0.25">
      <c r="A26" s="11" t="s">
        <v>133</v>
      </c>
      <c r="B26" s="11" t="s">
        <v>134</v>
      </c>
      <c r="C26" s="11" t="s">
        <v>58</v>
      </c>
      <c r="D26" s="11"/>
      <c r="E26" s="11" t="s">
        <v>68</v>
      </c>
      <c r="F26" s="11">
        <v>1</v>
      </c>
      <c r="G26" s="13">
        <v>20000</v>
      </c>
      <c r="H26" s="11">
        <f t="shared" si="8"/>
        <v>1</v>
      </c>
      <c r="I26" s="11">
        <f t="shared" si="9"/>
        <v>1</v>
      </c>
      <c r="J26" s="13">
        <f t="shared" si="10"/>
        <v>20000</v>
      </c>
      <c r="K26" s="13">
        <f t="shared" si="5"/>
        <v>0</v>
      </c>
      <c r="L26" s="13" t="s">
        <v>135</v>
      </c>
      <c r="M26" s="13" t="s">
        <v>132</v>
      </c>
      <c r="N26" s="13" t="s">
        <v>136</v>
      </c>
      <c r="O26" s="14">
        <f>K27/J27</f>
        <v>0</v>
      </c>
      <c r="P26" s="15">
        <f>K27/G27</f>
        <v>0</v>
      </c>
      <c r="Q26" s="15"/>
      <c r="R26" s="25">
        <v>14</v>
      </c>
      <c r="S26" s="11">
        <v>4</v>
      </c>
      <c r="U26" s="11"/>
      <c r="V26" s="13"/>
      <c r="W26" s="13"/>
      <c r="X26" s="13"/>
      <c r="AA26"/>
    </row>
    <row r="27" spans="1:27" ht="15" x14ac:dyDescent="0.25">
      <c r="A27" s="11" t="s">
        <v>137</v>
      </c>
      <c r="B27" s="11" t="s">
        <v>79</v>
      </c>
      <c r="C27" s="11"/>
      <c r="D27" s="11"/>
      <c r="E27" s="11" t="s">
        <v>40</v>
      </c>
      <c r="F27" s="11">
        <v>2</v>
      </c>
      <c r="G27" s="13">
        <v>25000</v>
      </c>
      <c r="H27" s="11">
        <f t="shared" si="8"/>
        <v>2</v>
      </c>
      <c r="I27" s="11">
        <f t="shared" si="9"/>
        <v>1</v>
      </c>
      <c r="J27" s="13">
        <v>25000</v>
      </c>
      <c r="K27" s="13">
        <f t="shared" si="5"/>
        <v>0</v>
      </c>
      <c r="L27" s="13" t="s">
        <v>138</v>
      </c>
      <c r="M27" s="13" t="s">
        <v>108</v>
      </c>
      <c r="N27" s="13" t="s">
        <v>139</v>
      </c>
      <c r="O27" s="23">
        <f>K28/J28</f>
        <v>0.27093596059113301</v>
      </c>
      <c r="P27" s="15">
        <f>K28/G28</f>
        <v>0.3716216216216216</v>
      </c>
      <c r="Q27" s="15"/>
      <c r="R27" s="25">
        <v>15</v>
      </c>
      <c r="S27" s="11">
        <v>4</v>
      </c>
      <c r="U27" s="11"/>
      <c r="V27" s="13"/>
      <c r="W27" s="13"/>
      <c r="X27" s="13"/>
      <c r="AA27"/>
    </row>
    <row r="28" spans="1:27" ht="15" x14ac:dyDescent="0.25">
      <c r="A28" s="11"/>
      <c r="B28" s="11"/>
      <c r="C28" s="11"/>
      <c r="D28" s="11"/>
      <c r="E28" s="11"/>
      <c r="F28" s="11"/>
      <c r="G28" s="17">
        <f>SUM(G16:G27)</f>
        <v>444000</v>
      </c>
      <c r="H28" s="17"/>
      <c r="I28" s="17"/>
      <c r="J28" s="17">
        <f>SUM(J16:J27)</f>
        <v>609000</v>
      </c>
      <c r="K28" s="17">
        <f>SUM(K16:K27)</f>
        <v>165000</v>
      </c>
      <c r="L28" s="17"/>
      <c r="M28" s="17"/>
      <c r="N28" s="17"/>
      <c r="O28" s="14"/>
      <c r="P28" s="15"/>
      <c r="Q28" s="15"/>
      <c r="R28" s="25">
        <v>16</v>
      </c>
      <c r="S28" s="11">
        <v>5</v>
      </c>
      <c r="U28" s="11"/>
      <c r="V28" s="13"/>
      <c r="W28" s="13"/>
      <c r="X28" s="13"/>
      <c r="AA28"/>
    </row>
    <row r="29" spans="1:27" ht="15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Q29" s="15"/>
      <c r="R29" s="25">
        <v>17</v>
      </c>
      <c r="S29" s="11">
        <v>5</v>
      </c>
      <c r="U29" s="11"/>
      <c r="V29" s="17"/>
      <c r="W29" s="17"/>
      <c r="X29" s="17"/>
      <c r="Y29" s="15"/>
      <c r="AA29"/>
    </row>
    <row r="30" spans="1:27" ht="15" x14ac:dyDescent="0.25">
      <c r="A30" s="19" t="s">
        <v>140</v>
      </c>
      <c r="O30" s="14">
        <f t="shared" ref="O30:O35" si="12">K31/J31</f>
        <v>0.26874999999999999</v>
      </c>
      <c r="P30" s="15">
        <f t="shared" ref="P30:P35" si="13">K31/G31</f>
        <v>0.36752136752136755</v>
      </c>
      <c r="Q30" s="15"/>
      <c r="R30" s="25">
        <v>18</v>
      </c>
      <c r="S30" s="11">
        <v>5</v>
      </c>
      <c r="U30" s="11"/>
      <c r="V30" s="11"/>
      <c r="W30" s="11"/>
      <c r="X30" s="14"/>
      <c r="Y30" s="2"/>
      <c r="AA30"/>
    </row>
    <row r="31" spans="1:27" ht="15" x14ac:dyDescent="0.25">
      <c r="A31" s="11" t="s">
        <v>141</v>
      </c>
      <c r="B31" s="11" t="s">
        <v>35</v>
      </c>
      <c r="C31" s="11" t="s">
        <v>51</v>
      </c>
      <c r="D31" s="11"/>
      <c r="E31" s="11" t="s">
        <v>38</v>
      </c>
      <c r="F31" s="11">
        <v>10</v>
      </c>
      <c r="G31" s="13">
        <v>87750</v>
      </c>
      <c r="H31" s="11">
        <f>VLOOKUP(E31, R$5:S$10, 2, FALSE)</f>
        <v>4</v>
      </c>
      <c r="I31" s="11">
        <f>VLOOKUP(F31, R$13:S$33, 2, FALSE)</f>
        <v>3</v>
      </c>
      <c r="J31" s="13">
        <f>INDEX($T$5:$Y$10, MATCH(H31, $S$5:$S$10, 0), MATCH(I31, $T$4:$X$4, 0))</f>
        <v>120000</v>
      </c>
      <c r="K31" s="13">
        <f t="shared" si="5"/>
        <v>32250</v>
      </c>
      <c r="L31" s="13"/>
      <c r="M31" s="13"/>
      <c r="N31" s="13"/>
      <c r="O31" s="14">
        <f t="shared" si="12"/>
        <v>0.33035714285714285</v>
      </c>
      <c r="P31" s="15">
        <f t="shared" si="13"/>
        <v>0.49333333333333335</v>
      </c>
      <c r="Q31" s="15"/>
      <c r="R31" s="25">
        <v>19</v>
      </c>
      <c r="S31" s="11">
        <v>5</v>
      </c>
      <c r="X31" s="2"/>
      <c r="Y31" s="2"/>
      <c r="Z31" s="2"/>
      <c r="AA31"/>
    </row>
    <row r="32" spans="1:27" ht="15" x14ac:dyDescent="0.25">
      <c r="A32" s="11" t="s">
        <v>142</v>
      </c>
      <c r="B32" s="11" t="s">
        <v>143</v>
      </c>
      <c r="C32" s="11" t="s">
        <v>124</v>
      </c>
      <c r="D32" s="11"/>
      <c r="E32" s="11" t="s">
        <v>48</v>
      </c>
      <c r="F32" s="11">
        <v>5</v>
      </c>
      <c r="G32" s="13">
        <v>46875</v>
      </c>
      <c r="H32" s="11">
        <f>VLOOKUP(E32, R$5:S$10, 2, FALSE)</f>
        <v>3</v>
      </c>
      <c r="I32" s="11">
        <f>VLOOKUP(F32, R$13:S$33, 2, FALSE)</f>
        <v>2</v>
      </c>
      <c r="J32" s="13">
        <f>INDEX($T$5:$Y$10, MATCH(H32, $S$5:$S$10, 0), MATCH(I32, $T$4:$X$4, 0))</f>
        <v>70000</v>
      </c>
      <c r="K32" s="13">
        <f t="shared" si="5"/>
        <v>23125</v>
      </c>
      <c r="L32" s="13"/>
      <c r="M32" s="13"/>
      <c r="N32" s="13"/>
      <c r="O32" s="14">
        <f t="shared" si="12"/>
        <v>0.45833333333333331</v>
      </c>
      <c r="P32" s="15">
        <f t="shared" si="13"/>
        <v>0.84615384615384615</v>
      </c>
      <c r="Q32" s="15"/>
      <c r="R32" s="25">
        <v>20</v>
      </c>
      <c r="S32" s="11">
        <v>5</v>
      </c>
      <c r="X32" s="2"/>
      <c r="Y32" s="2"/>
      <c r="Z32" s="2"/>
      <c r="AA32"/>
    </row>
    <row r="33" spans="1:27" ht="15" x14ac:dyDescent="0.25">
      <c r="A33" s="11" t="s">
        <v>144</v>
      </c>
      <c r="B33" s="11" t="s">
        <v>57</v>
      </c>
      <c r="C33" s="11" t="s">
        <v>73</v>
      </c>
      <c r="D33" s="11"/>
      <c r="E33" s="11" t="s">
        <v>40</v>
      </c>
      <c r="F33" s="11">
        <v>11</v>
      </c>
      <c r="G33" s="13">
        <v>32500</v>
      </c>
      <c r="H33" s="11">
        <f>VLOOKUP(E33, R$5:S$10, 2, FALSE)</f>
        <v>2</v>
      </c>
      <c r="I33" s="11">
        <f>VLOOKUP(F33, R$13:S$33, 2, FALSE)</f>
        <v>4</v>
      </c>
      <c r="J33" s="13">
        <f>INDEX($T$5:$Y$10, MATCH(H33, $S$5:$S$10, 0), MATCH(I33, $T$4:$X$4, 0))</f>
        <v>60000</v>
      </c>
      <c r="K33" s="13">
        <f t="shared" si="5"/>
        <v>27500</v>
      </c>
      <c r="L33" s="13"/>
      <c r="M33" s="13"/>
      <c r="N33" s="13"/>
      <c r="O33" s="14">
        <f t="shared" si="12"/>
        <v>0.25</v>
      </c>
      <c r="P33" s="15">
        <f t="shared" si="13"/>
        <v>0.33333333333333331</v>
      </c>
      <c r="Q33" s="15"/>
      <c r="R33" s="25">
        <v>21</v>
      </c>
      <c r="S33" s="11">
        <v>6</v>
      </c>
      <c r="X33" s="2"/>
      <c r="Y33" s="2"/>
      <c r="Z33" s="2"/>
      <c r="AA33" s="29"/>
    </row>
    <row r="34" spans="1:27" ht="15" x14ac:dyDescent="0.25">
      <c r="A34" s="11" t="s">
        <v>145</v>
      </c>
      <c r="B34" s="11" t="s">
        <v>146</v>
      </c>
      <c r="C34" s="11" t="s">
        <v>105</v>
      </c>
      <c r="D34" s="11"/>
      <c r="E34" s="11" t="s">
        <v>40</v>
      </c>
      <c r="F34" s="11">
        <v>4</v>
      </c>
      <c r="G34" s="13">
        <v>30000</v>
      </c>
      <c r="H34" s="11">
        <f>VLOOKUP(E34, R$5:S$10, 2, FALSE)</f>
        <v>2</v>
      </c>
      <c r="I34" s="11">
        <f>VLOOKUP(F34, R$13:S$33, 2, FALSE)</f>
        <v>2</v>
      </c>
      <c r="J34" s="13">
        <f>INDEX($T$5:$Y$10, MATCH(H34, $S$5:$S$10, 0), MATCH(I34, $T$4:$X$4, 0))</f>
        <v>40000</v>
      </c>
      <c r="K34" s="13">
        <f t="shared" si="5"/>
        <v>10000</v>
      </c>
      <c r="L34" s="13"/>
      <c r="M34" s="13"/>
      <c r="N34" s="13"/>
      <c r="O34" s="14">
        <f t="shared" si="12"/>
        <v>0.23076923076923078</v>
      </c>
      <c r="P34" s="15">
        <f t="shared" si="13"/>
        <v>0.3</v>
      </c>
      <c r="Q34" s="15"/>
      <c r="X34" s="2"/>
      <c r="Y34" s="2"/>
      <c r="Z34" s="2"/>
      <c r="AA34" s="29"/>
    </row>
    <row r="35" spans="1:27" ht="15" x14ac:dyDescent="0.25">
      <c r="A35" s="11" t="s">
        <v>147</v>
      </c>
      <c r="B35" s="11" t="s">
        <v>120</v>
      </c>
      <c r="C35" s="11" t="s">
        <v>73</v>
      </c>
      <c r="D35" s="11"/>
      <c r="E35" s="11" t="s">
        <v>68</v>
      </c>
      <c r="F35" s="11">
        <v>3</v>
      </c>
      <c r="G35" s="13">
        <v>20000</v>
      </c>
      <c r="H35" s="11">
        <f>VLOOKUP(E35, R$5:S$10, 2, FALSE)</f>
        <v>1</v>
      </c>
      <c r="I35" s="11">
        <f>VLOOKUP(F35, R$13:S$33, 2, FALSE)</f>
        <v>2</v>
      </c>
      <c r="J35" s="13">
        <f>INDEX($T$5:$Y$10, MATCH(H35, $S$5:$S$10, 0), MATCH(I35, $T$4:$X$4, 0))</f>
        <v>26000</v>
      </c>
      <c r="K35" s="13">
        <f t="shared" si="5"/>
        <v>6000</v>
      </c>
      <c r="L35" s="13"/>
      <c r="M35" s="13"/>
      <c r="N35" s="13"/>
      <c r="O35" s="23">
        <f t="shared" si="12"/>
        <v>0.31289556962025317</v>
      </c>
      <c r="P35" s="15">
        <f t="shared" si="13"/>
        <v>0.45538284398388024</v>
      </c>
      <c r="Q35" s="15"/>
      <c r="W35"/>
      <c r="X35"/>
      <c r="Y35"/>
      <c r="Z35" s="2"/>
      <c r="AA35" s="29"/>
    </row>
    <row r="36" spans="1:27" ht="15" x14ac:dyDescent="0.25">
      <c r="A36" s="11"/>
      <c r="B36" s="11"/>
      <c r="C36" s="11"/>
      <c r="D36" s="11"/>
      <c r="E36" s="11"/>
      <c r="F36" s="11"/>
      <c r="G36" s="17">
        <f>SUM(G30:G35)</f>
        <v>217125</v>
      </c>
      <c r="H36" s="17"/>
      <c r="I36" s="17"/>
      <c r="J36" s="17">
        <f t="shared" ref="J36:K36" si="14">SUM(J30:J35)</f>
        <v>316000</v>
      </c>
      <c r="K36" s="17">
        <f t="shared" si="14"/>
        <v>98875</v>
      </c>
      <c r="L36" s="17"/>
      <c r="M36" s="17"/>
      <c r="N36" s="17"/>
      <c r="O36" s="14"/>
      <c r="P36" s="15"/>
      <c r="Q36" s="15"/>
      <c r="W36"/>
      <c r="X36"/>
      <c r="Y36"/>
      <c r="Z36" s="2"/>
      <c r="AA36" s="29"/>
    </row>
    <row r="37" spans="1:27" ht="15" x14ac:dyDescent="0.25">
      <c r="A37" s="18" t="s">
        <v>148</v>
      </c>
      <c r="B37" s="11"/>
      <c r="C37" s="11"/>
      <c r="D37" s="11"/>
      <c r="E37" s="11"/>
      <c r="F37" s="11"/>
      <c r="G37" s="13"/>
      <c r="H37" s="11"/>
      <c r="I37" s="11"/>
      <c r="J37" s="13"/>
      <c r="K37" s="13"/>
      <c r="L37" s="13"/>
      <c r="M37" s="13"/>
      <c r="N37" s="13"/>
      <c r="O37" s="14">
        <f t="shared" ref="O37:O52" si="15">K38/J38</f>
        <v>0.21428571428571427</v>
      </c>
      <c r="P37" s="15">
        <f t="shared" ref="P37:P52" si="16">K38/G38</f>
        <v>0.27272727272727271</v>
      </c>
      <c r="Q37" s="15"/>
      <c r="W37"/>
      <c r="X37"/>
      <c r="Y37"/>
      <c r="Z37" s="28"/>
      <c r="AA37" s="29"/>
    </row>
    <row r="38" spans="1:27" ht="15" x14ac:dyDescent="0.25">
      <c r="A38" s="11" t="s">
        <v>149</v>
      </c>
      <c r="B38" s="11" t="s">
        <v>150</v>
      </c>
      <c r="C38" s="11" t="s">
        <v>36</v>
      </c>
      <c r="D38" s="11" t="s">
        <v>37</v>
      </c>
      <c r="E38" s="11" t="s">
        <v>38</v>
      </c>
      <c r="F38" s="11">
        <v>17</v>
      </c>
      <c r="G38" s="13">
        <v>110000</v>
      </c>
      <c r="H38" s="11">
        <f t="shared" ref="H38:H52" si="17">VLOOKUP(E38, R$5:S$10, 2, FALSE)</f>
        <v>4</v>
      </c>
      <c r="I38" s="11">
        <f t="shared" ref="I38:I52" si="18">VLOOKUP(F38, R$13:S$33, 2, FALSE)</f>
        <v>5</v>
      </c>
      <c r="J38" s="13">
        <f t="shared" ref="J38:J52" si="19">INDEX($T$5:$Y$10, MATCH(H38, $S$5:$S$10, 0), MATCH(I38, $T$4:$X$4, 0))</f>
        <v>140000</v>
      </c>
      <c r="K38" s="13">
        <f t="shared" si="5"/>
        <v>30000</v>
      </c>
      <c r="L38" s="13" t="s">
        <v>151</v>
      </c>
      <c r="M38" s="13" t="s">
        <v>108</v>
      </c>
      <c r="N38" s="13" t="s">
        <v>152</v>
      </c>
      <c r="O38" s="14">
        <f t="shared" si="15"/>
        <v>0.5</v>
      </c>
      <c r="P38" s="15">
        <f t="shared" si="16"/>
        <v>1</v>
      </c>
      <c r="Q38" s="15"/>
      <c r="W38"/>
      <c r="X38"/>
      <c r="Y38"/>
      <c r="Z38" s="28"/>
      <c r="AA38"/>
    </row>
    <row r="39" spans="1:27" ht="15" x14ac:dyDescent="0.25">
      <c r="A39" s="11" t="s">
        <v>153</v>
      </c>
      <c r="B39" s="11"/>
      <c r="C39" s="11"/>
      <c r="D39" s="11"/>
      <c r="E39" s="11" t="s">
        <v>38</v>
      </c>
      <c r="F39" s="11">
        <v>1</v>
      </c>
      <c r="G39" s="13">
        <v>40000</v>
      </c>
      <c r="H39" s="11">
        <f t="shared" si="17"/>
        <v>4</v>
      </c>
      <c r="I39" s="11">
        <f t="shared" si="18"/>
        <v>1</v>
      </c>
      <c r="J39" s="13">
        <f t="shared" si="19"/>
        <v>80000</v>
      </c>
      <c r="K39" s="13">
        <f>J39-G39</f>
        <v>40000</v>
      </c>
      <c r="L39" s="13"/>
      <c r="M39" s="13"/>
      <c r="N39" s="13"/>
      <c r="O39" s="14">
        <f t="shared" si="15"/>
        <v>0.2638888888888889</v>
      </c>
      <c r="P39" s="15">
        <f t="shared" si="16"/>
        <v>0.35849056603773582</v>
      </c>
      <c r="Q39" s="15"/>
      <c r="W39"/>
      <c r="X39"/>
      <c r="Y39"/>
      <c r="Z39" s="28"/>
      <c r="AA39"/>
    </row>
    <row r="40" spans="1:27" ht="15" x14ac:dyDescent="0.25">
      <c r="A40" s="11" t="s">
        <v>154</v>
      </c>
      <c r="B40" s="11" t="s">
        <v>155</v>
      </c>
      <c r="C40" s="11" t="s">
        <v>80</v>
      </c>
      <c r="D40" s="11" t="s">
        <v>156</v>
      </c>
      <c r="E40" s="11" t="s">
        <v>44</v>
      </c>
      <c r="F40" s="11">
        <v>10</v>
      </c>
      <c r="G40" s="13">
        <v>66250</v>
      </c>
      <c r="H40" s="11">
        <f t="shared" si="17"/>
        <v>3</v>
      </c>
      <c r="I40" s="11">
        <f t="shared" si="18"/>
        <v>3</v>
      </c>
      <c r="J40" s="13">
        <f t="shared" si="19"/>
        <v>90000</v>
      </c>
      <c r="K40" s="13">
        <f t="shared" si="5"/>
        <v>23750</v>
      </c>
      <c r="L40" s="13" t="s">
        <v>157</v>
      </c>
      <c r="M40" s="13" t="s">
        <v>29</v>
      </c>
      <c r="N40" s="13" t="s">
        <v>158</v>
      </c>
      <c r="O40" s="14">
        <f t="shared" si="15"/>
        <v>0.24</v>
      </c>
      <c r="P40" s="15">
        <f t="shared" si="16"/>
        <v>0.31578947368421051</v>
      </c>
      <c r="Q40" s="15"/>
      <c r="W40"/>
      <c r="X40"/>
      <c r="Y40"/>
      <c r="Z40"/>
      <c r="AA40"/>
    </row>
    <row r="41" spans="1:27" ht="15" x14ac:dyDescent="0.25">
      <c r="A41" s="11" t="s">
        <v>159</v>
      </c>
      <c r="B41" s="11"/>
      <c r="C41" s="11"/>
      <c r="D41" s="11"/>
      <c r="E41" s="11" t="s">
        <v>44</v>
      </c>
      <c r="F41" s="11">
        <v>1</v>
      </c>
      <c r="G41" s="13">
        <v>38000</v>
      </c>
      <c r="H41" s="11">
        <f t="shared" si="17"/>
        <v>3</v>
      </c>
      <c r="I41" s="11">
        <f t="shared" si="18"/>
        <v>1</v>
      </c>
      <c r="J41" s="13">
        <f t="shared" si="19"/>
        <v>50000</v>
      </c>
      <c r="K41" s="13">
        <f t="shared" si="5"/>
        <v>12000</v>
      </c>
      <c r="L41" s="13"/>
      <c r="M41" s="13"/>
      <c r="N41" s="13"/>
      <c r="O41" s="14">
        <f t="shared" si="15"/>
        <v>0.34285714285714286</v>
      </c>
      <c r="P41" s="15">
        <f t="shared" si="16"/>
        <v>0.52173913043478259</v>
      </c>
      <c r="Q41" s="15"/>
      <c r="Z41"/>
      <c r="AA41"/>
    </row>
    <row r="42" spans="1:27" ht="15" x14ac:dyDescent="0.25">
      <c r="A42" s="11" t="s">
        <v>160</v>
      </c>
      <c r="B42" s="11" t="s">
        <v>146</v>
      </c>
      <c r="C42" s="11" t="s">
        <v>36</v>
      </c>
      <c r="D42" s="11" t="s">
        <v>161</v>
      </c>
      <c r="E42" s="11" t="s">
        <v>44</v>
      </c>
      <c r="F42" s="11">
        <v>4</v>
      </c>
      <c r="G42" s="13">
        <v>46000</v>
      </c>
      <c r="H42" s="11">
        <f t="shared" si="17"/>
        <v>3</v>
      </c>
      <c r="I42" s="11">
        <f t="shared" si="18"/>
        <v>2</v>
      </c>
      <c r="J42" s="13">
        <f t="shared" si="19"/>
        <v>70000</v>
      </c>
      <c r="K42" s="13">
        <f t="shared" si="5"/>
        <v>24000</v>
      </c>
      <c r="L42" s="13" t="s">
        <v>162</v>
      </c>
      <c r="M42" s="13" t="s">
        <v>114</v>
      </c>
      <c r="N42" s="13" t="s">
        <v>160</v>
      </c>
      <c r="O42" s="14">
        <f t="shared" si="15"/>
        <v>0.34285714285714286</v>
      </c>
      <c r="P42" s="15">
        <f t="shared" si="16"/>
        <v>0.52173913043478259</v>
      </c>
      <c r="Q42" s="15"/>
      <c r="Z42"/>
      <c r="AA42"/>
    </row>
    <row r="43" spans="1:27" x14ac:dyDescent="0.2">
      <c r="A43" s="11" t="s">
        <v>163</v>
      </c>
      <c r="B43" s="11" t="s">
        <v>164</v>
      </c>
      <c r="C43" s="11" t="s">
        <v>165</v>
      </c>
      <c r="D43" s="21">
        <v>39234</v>
      </c>
      <c r="E43" s="11" t="s">
        <v>40</v>
      </c>
      <c r="F43" s="11">
        <v>17</v>
      </c>
      <c r="G43" s="13">
        <v>46000</v>
      </c>
      <c r="H43" s="11">
        <f t="shared" si="17"/>
        <v>2</v>
      </c>
      <c r="I43" s="11">
        <f t="shared" si="18"/>
        <v>5</v>
      </c>
      <c r="J43" s="13">
        <f t="shared" si="19"/>
        <v>70000</v>
      </c>
      <c r="K43" s="13">
        <f t="shared" si="5"/>
        <v>24000</v>
      </c>
      <c r="L43" s="13" t="s">
        <v>166</v>
      </c>
      <c r="M43" s="13" t="s">
        <v>29</v>
      </c>
      <c r="N43" s="13" t="s">
        <v>167</v>
      </c>
      <c r="O43" s="14">
        <f t="shared" si="15"/>
        <v>0.42857142857142855</v>
      </c>
      <c r="P43" s="15">
        <f t="shared" si="16"/>
        <v>0.75</v>
      </c>
      <c r="Q43" s="15"/>
    </row>
    <row r="44" spans="1:27" x14ac:dyDescent="0.2">
      <c r="A44" s="11" t="s">
        <v>168</v>
      </c>
      <c r="B44" s="11" t="s">
        <v>169</v>
      </c>
      <c r="C44" s="11" t="s">
        <v>73</v>
      </c>
      <c r="D44" s="11" t="s">
        <v>170</v>
      </c>
      <c r="E44" s="11" t="s">
        <v>40</v>
      </c>
      <c r="F44" s="11">
        <v>16</v>
      </c>
      <c r="G44" s="13">
        <v>40000</v>
      </c>
      <c r="H44" s="11">
        <f t="shared" si="17"/>
        <v>2</v>
      </c>
      <c r="I44" s="11">
        <f t="shared" si="18"/>
        <v>5</v>
      </c>
      <c r="J44" s="13">
        <f t="shared" si="19"/>
        <v>70000</v>
      </c>
      <c r="K44" s="13">
        <f t="shared" si="5"/>
        <v>30000</v>
      </c>
      <c r="L44" s="13" t="s">
        <v>171</v>
      </c>
      <c r="M44" s="13" t="s">
        <v>172</v>
      </c>
      <c r="N44" s="13" t="s">
        <v>173</v>
      </c>
      <c r="O44" s="14">
        <f t="shared" si="15"/>
        <v>0.5</v>
      </c>
      <c r="P44" s="15">
        <f t="shared" si="16"/>
        <v>1</v>
      </c>
      <c r="Q44" s="15"/>
    </row>
    <row r="45" spans="1:27" x14ac:dyDescent="0.2">
      <c r="A45" s="11" t="s">
        <v>174</v>
      </c>
      <c r="B45" s="3" t="s">
        <v>175</v>
      </c>
      <c r="C45" s="3" t="s">
        <v>73</v>
      </c>
      <c r="D45" s="3" t="s">
        <v>176</v>
      </c>
      <c r="E45" s="11" t="s">
        <v>40</v>
      </c>
      <c r="F45" s="11">
        <v>9</v>
      </c>
      <c r="G45" s="13">
        <v>25000</v>
      </c>
      <c r="H45" s="11">
        <f t="shared" si="17"/>
        <v>2</v>
      </c>
      <c r="I45" s="11">
        <f t="shared" si="18"/>
        <v>3</v>
      </c>
      <c r="J45" s="13">
        <f t="shared" si="19"/>
        <v>50000</v>
      </c>
      <c r="K45" s="13">
        <f t="shared" si="5"/>
        <v>25000</v>
      </c>
      <c r="L45" s="13" t="s">
        <v>177</v>
      </c>
      <c r="M45" s="13" t="s">
        <v>102</v>
      </c>
      <c r="N45" s="13" t="s">
        <v>178</v>
      </c>
      <c r="O45" s="14">
        <f t="shared" si="15"/>
        <v>0.2</v>
      </c>
      <c r="P45" s="15">
        <f t="shared" si="16"/>
        <v>0.25</v>
      </c>
      <c r="Q45" s="15"/>
    </row>
    <row r="46" spans="1:27" x14ac:dyDescent="0.2">
      <c r="A46" s="11" t="s">
        <v>179</v>
      </c>
      <c r="B46" s="3" t="s">
        <v>169</v>
      </c>
      <c r="C46" s="11" t="s">
        <v>180</v>
      </c>
      <c r="D46" s="11" t="s">
        <v>181</v>
      </c>
      <c r="E46" s="11" t="s">
        <v>68</v>
      </c>
      <c r="F46" s="11">
        <v>12</v>
      </c>
      <c r="G46" s="13">
        <v>32000</v>
      </c>
      <c r="H46" s="11">
        <f t="shared" si="17"/>
        <v>1</v>
      </c>
      <c r="I46" s="11">
        <f t="shared" si="18"/>
        <v>4</v>
      </c>
      <c r="J46" s="13">
        <f t="shared" si="19"/>
        <v>40000</v>
      </c>
      <c r="K46" s="13">
        <f t="shared" si="5"/>
        <v>8000</v>
      </c>
      <c r="L46" s="13" t="s">
        <v>182</v>
      </c>
      <c r="M46" s="13" t="s">
        <v>102</v>
      </c>
      <c r="N46" s="13" t="s">
        <v>183</v>
      </c>
      <c r="O46" s="14">
        <f t="shared" si="15"/>
        <v>0.30303030303030304</v>
      </c>
      <c r="P46" s="15">
        <f t="shared" si="16"/>
        <v>0.43478260869565216</v>
      </c>
      <c r="Q46" s="15"/>
    </row>
    <row r="47" spans="1:27" x14ac:dyDescent="0.2">
      <c r="A47" s="11" t="s">
        <v>184</v>
      </c>
      <c r="B47" s="11"/>
      <c r="C47" s="11"/>
      <c r="D47" s="11" t="s">
        <v>59</v>
      </c>
      <c r="E47" s="11" t="s">
        <v>68</v>
      </c>
      <c r="F47" s="11">
        <v>6</v>
      </c>
      <c r="G47" s="13">
        <v>23000</v>
      </c>
      <c r="H47" s="11">
        <f t="shared" si="17"/>
        <v>1</v>
      </c>
      <c r="I47" s="11">
        <f t="shared" si="18"/>
        <v>3</v>
      </c>
      <c r="J47" s="13">
        <f t="shared" si="19"/>
        <v>33000</v>
      </c>
      <c r="K47" s="13">
        <f t="shared" si="5"/>
        <v>10000</v>
      </c>
      <c r="L47" s="13" t="s">
        <v>185</v>
      </c>
      <c r="M47" s="13"/>
      <c r="N47" s="13"/>
      <c r="O47" s="14">
        <f t="shared" si="15"/>
        <v>0.15151515151515152</v>
      </c>
      <c r="P47" s="15">
        <f t="shared" si="16"/>
        <v>0.17857142857142858</v>
      </c>
      <c r="Q47" s="15"/>
    </row>
    <row r="48" spans="1:27" x14ac:dyDescent="0.2">
      <c r="A48" s="11" t="s">
        <v>186</v>
      </c>
      <c r="B48" s="11" t="s">
        <v>187</v>
      </c>
      <c r="C48" s="11" t="s">
        <v>105</v>
      </c>
      <c r="D48" s="11" t="s">
        <v>188</v>
      </c>
      <c r="E48" s="11" t="s">
        <v>40</v>
      </c>
      <c r="F48" s="11">
        <v>2</v>
      </c>
      <c r="G48" s="13">
        <v>28000</v>
      </c>
      <c r="H48" s="11">
        <f t="shared" si="17"/>
        <v>2</v>
      </c>
      <c r="I48" s="11">
        <f t="shared" si="18"/>
        <v>1</v>
      </c>
      <c r="J48" s="13">
        <f t="shared" si="19"/>
        <v>33000</v>
      </c>
      <c r="K48" s="13">
        <f t="shared" si="5"/>
        <v>5000</v>
      </c>
      <c r="L48" s="13" t="s">
        <v>189</v>
      </c>
      <c r="M48" s="13" t="s">
        <v>29</v>
      </c>
      <c r="N48" s="13" t="s">
        <v>190</v>
      </c>
      <c r="O48" s="14">
        <f t="shared" si="15"/>
        <v>0.15151515151515152</v>
      </c>
      <c r="P48" s="15">
        <f t="shared" si="16"/>
        <v>0.17857142857142858</v>
      </c>
      <c r="Q48" s="15"/>
    </row>
    <row r="49" spans="1:21" ht="15" x14ac:dyDescent="0.25">
      <c r="A49" s="11" t="s">
        <v>191</v>
      </c>
      <c r="B49" s="11" t="s">
        <v>192</v>
      </c>
      <c r="C49" s="11" t="s">
        <v>105</v>
      </c>
      <c r="D49" s="11" t="s">
        <v>193</v>
      </c>
      <c r="E49" s="11" t="s">
        <v>40</v>
      </c>
      <c r="F49" s="11">
        <v>1</v>
      </c>
      <c r="G49" s="13">
        <v>28000</v>
      </c>
      <c r="H49" s="11">
        <f t="shared" si="17"/>
        <v>2</v>
      </c>
      <c r="I49" s="11">
        <f t="shared" si="18"/>
        <v>1</v>
      </c>
      <c r="J49" s="13">
        <f t="shared" si="19"/>
        <v>33000</v>
      </c>
      <c r="K49" s="13">
        <f t="shared" si="5"/>
        <v>5000</v>
      </c>
      <c r="L49" s="13" t="s">
        <v>194</v>
      </c>
      <c r="M49" s="13" t="s">
        <v>114</v>
      </c>
      <c r="N49" s="13" t="s">
        <v>195</v>
      </c>
      <c r="O49" s="14">
        <f t="shared" si="15"/>
        <v>0.45454545454545453</v>
      </c>
      <c r="P49" s="15">
        <f t="shared" si="16"/>
        <v>0.83333333333333337</v>
      </c>
      <c r="Q49" s="15"/>
      <c r="T49" s="26" t="s">
        <v>196</v>
      </c>
      <c r="U49" s="30">
        <v>500000</v>
      </c>
    </row>
    <row r="50" spans="1:21" ht="15" x14ac:dyDescent="0.25">
      <c r="A50" s="11" t="s">
        <v>197</v>
      </c>
      <c r="B50" s="11"/>
      <c r="C50" s="11"/>
      <c r="D50" s="11"/>
      <c r="E50" s="11" t="s">
        <v>40</v>
      </c>
      <c r="F50" s="11">
        <v>1</v>
      </c>
      <c r="G50" s="13">
        <v>18000</v>
      </c>
      <c r="H50" s="11">
        <f t="shared" si="17"/>
        <v>2</v>
      </c>
      <c r="I50" s="11">
        <f t="shared" si="18"/>
        <v>1</v>
      </c>
      <c r="J50" s="13">
        <f t="shared" si="19"/>
        <v>33000</v>
      </c>
      <c r="K50" s="13">
        <f t="shared" si="5"/>
        <v>15000</v>
      </c>
      <c r="L50" s="13"/>
      <c r="M50" s="13"/>
      <c r="N50" s="13"/>
      <c r="O50" s="14">
        <f t="shared" si="15"/>
        <v>0.2</v>
      </c>
      <c r="P50" s="15">
        <f t="shared" si="16"/>
        <v>0.25</v>
      </c>
      <c r="Q50" s="15"/>
      <c r="T50" s="26" t="s">
        <v>198</v>
      </c>
      <c r="U50" s="30">
        <v>110000</v>
      </c>
    </row>
    <row r="51" spans="1:21" ht="15" x14ac:dyDescent="0.25">
      <c r="A51" s="11" t="s">
        <v>199</v>
      </c>
      <c r="B51" s="11"/>
      <c r="C51" s="11"/>
      <c r="D51" s="11"/>
      <c r="E51" s="11" t="s">
        <v>68</v>
      </c>
      <c r="F51" s="11">
        <v>7</v>
      </c>
      <c r="G51" s="13">
        <v>28000</v>
      </c>
      <c r="H51" s="11">
        <f>VLOOKUP(E51, R$5:S$10, 2, FALSE)</f>
        <v>1</v>
      </c>
      <c r="I51" s="11">
        <f>VLOOKUP(F51, R$13:S$33, 2, FALSE)</f>
        <v>3</v>
      </c>
      <c r="J51" s="13">
        <v>35000</v>
      </c>
      <c r="K51" s="13">
        <f>J51-G51</f>
        <v>7000</v>
      </c>
      <c r="L51" s="13"/>
      <c r="M51" s="13"/>
      <c r="N51" s="13"/>
      <c r="O51" s="14">
        <f t="shared" si="15"/>
        <v>0.55000000000000004</v>
      </c>
      <c r="P51" s="15">
        <f t="shared" si="16"/>
        <v>1.2222222222222223</v>
      </c>
      <c r="Q51" s="15"/>
      <c r="T51" s="26" t="s">
        <v>200</v>
      </c>
      <c r="U51" s="30">
        <v>45000</v>
      </c>
    </row>
    <row r="52" spans="1:21" ht="15" x14ac:dyDescent="0.25">
      <c r="A52" s="11" t="s">
        <v>201</v>
      </c>
      <c r="B52" s="11" t="s">
        <v>202</v>
      </c>
      <c r="C52" s="11" t="s">
        <v>80</v>
      </c>
      <c r="D52" s="11" t="s">
        <v>203</v>
      </c>
      <c r="E52" s="11" t="s">
        <v>40</v>
      </c>
      <c r="F52" s="11">
        <v>3</v>
      </c>
      <c r="G52" s="13">
        <v>18000</v>
      </c>
      <c r="H52" s="11">
        <f t="shared" si="17"/>
        <v>2</v>
      </c>
      <c r="I52" s="11">
        <f t="shared" si="18"/>
        <v>2</v>
      </c>
      <c r="J52" s="13">
        <f t="shared" si="19"/>
        <v>40000</v>
      </c>
      <c r="K52" s="13">
        <f t="shared" si="5"/>
        <v>22000</v>
      </c>
      <c r="L52" s="13" t="s">
        <v>204</v>
      </c>
      <c r="M52" s="13" t="s">
        <v>127</v>
      </c>
      <c r="N52" s="13" t="s">
        <v>205</v>
      </c>
      <c r="O52" s="23">
        <f t="shared" si="15"/>
        <v>0.32381776239907728</v>
      </c>
      <c r="P52" s="15">
        <f t="shared" si="16"/>
        <v>0.47889125799573562</v>
      </c>
      <c r="Q52" s="15"/>
      <c r="T52" s="26" t="s">
        <v>206</v>
      </c>
      <c r="U52" s="30">
        <v>100000</v>
      </c>
    </row>
    <row r="53" spans="1:21" ht="15" x14ac:dyDescent="0.25">
      <c r="A53" s="11"/>
      <c r="B53" s="11"/>
      <c r="C53" s="11"/>
      <c r="D53" s="11"/>
      <c r="E53" s="11"/>
      <c r="F53" s="11"/>
      <c r="G53" s="22">
        <f>SUM(G38:G52)</f>
        <v>586250</v>
      </c>
      <c r="H53" s="22"/>
      <c r="I53" s="22"/>
      <c r="J53" s="22">
        <f>SUM(J38:J52)</f>
        <v>867000</v>
      </c>
      <c r="K53" s="22">
        <f>SUM(K38:K52)</f>
        <v>280750</v>
      </c>
      <c r="L53" s="22"/>
      <c r="M53" s="22"/>
      <c r="N53" s="22"/>
      <c r="O53" s="23"/>
      <c r="P53" s="15"/>
      <c r="Q53" s="15"/>
      <c r="T53" s="26" t="s">
        <v>207</v>
      </c>
      <c r="U53" s="30">
        <v>40000</v>
      </c>
    </row>
    <row r="54" spans="1:21" ht="15" x14ac:dyDescent="0.25">
      <c r="A54" s="11"/>
      <c r="B54" s="11"/>
      <c r="C54" s="11"/>
      <c r="D54" s="11"/>
      <c r="E54" s="11"/>
      <c r="F54" s="11"/>
      <c r="G54" s="22"/>
      <c r="H54" s="11"/>
      <c r="I54" s="11"/>
      <c r="J54" s="13"/>
      <c r="K54" s="13"/>
      <c r="L54" s="13"/>
      <c r="M54" s="13"/>
      <c r="N54" s="13"/>
      <c r="O54" s="23"/>
      <c r="P54" s="15"/>
      <c r="Q54" s="15"/>
      <c r="T54" s="26" t="s">
        <v>208</v>
      </c>
      <c r="U54" s="30">
        <v>25000</v>
      </c>
    </row>
    <row r="55" spans="1:21" ht="15" x14ac:dyDescent="0.25">
      <c r="A55" s="18" t="s">
        <v>209</v>
      </c>
      <c r="B55" s="11"/>
      <c r="C55" s="11"/>
      <c r="D55" s="11"/>
      <c r="E55" s="11"/>
      <c r="F55" s="11"/>
      <c r="G55" s="22"/>
      <c r="H55" s="11"/>
      <c r="I55" s="11"/>
      <c r="J55" s="13"/>
      <c r="K55" s="13"/>
      <c r="L55" s="13"/>
      <c r="M55" s="13"/>
      <c r="N55" s="13"/>
      <c r="O55" s="14">
        <f>K56/J56</f>
        <v>0.21428571428571427</v>
      </c>
      <c r="P55" s="15">
        <f>K56/G56</f>
        <v>0.27272727272727271</v>
      </c>
      <c r="Q55" s="15"/>
      <c r="T55" s="26" t="s">
        <v>210</v>
      </c>
      <c r="U55" s="30">
        <v>50000</v>
      </c>
    </row>
    <row r="56" spans="1:21" ht="15" x14ac:dyDescent="0.25">
      <c r="A56" s="11" t="s">
        <v>211</v>
      </c>
      <c r="B56" s="11" t="s">
        <v>212</v>
      </c>
      <c r="C56" s="11"/>
      <c r="D56" s="11"/>
      <c r="E56" s="11" t="s">
        <v>38</v>
      </c>
      <c r="F56" s="11">
        <v>16</v>
      </c>
      <c r="G56" s="24">
        <v>110000</v>
      </c>
      <c r="H56" s="11">
        <f t="shared" ref="H56:H59" si="20">VLOOKUP(E56, R$5:S$10, 2, FALSE)</f>
        <v>4</v>
      </c>
      <c r="I56" s="11">
        <f>VLOOKUP(F56, R$13:S$33, 2, FALSE)</f>
        <v>5</v>
      </c>
      <c r="J56" s="13">
        <f t="shared" ref="J56:J57" si="21">INDEX($T$5:$Y$10, MATCH(H56, $S$5:$S$10, 0), MATCH(I56, $T$4:$X$4, 0))</f>
        <v>140000</v>
      </c>
      <c r="K56" s="13">
        <f t="shared" ref="K56:K59" si="22">J56-G56</f>
        <v>30000</v>
      </c>
      <c r="L56" s="3" t="s">
        <v>213</v>
      </c>
      <c r="M56" s="3" t="s">
        <v>172</v>
      </c>
      <c r="N56" s="3" t="s">
        <v>214</v>
      </c>
      <c r="O56" s="14">
        <f>K57/J57</f>
        <v>0.1</v>
      </c>
      <c r="P56" s="15">
        <f>K57/G57</f>
        <v>0.1111111111111111</v>
      </c>
      <c r="Q56" s="15"/>
      <c r="T56" s="26" t="s">
        <v>215</v>
      </c>
      <c r="U56" s="30">
        <v>25000</v>
      </c>
    </row>
    <row r="57" spans="1:21" ht="15" x14ac:dyDescent="0.25">
      <c r="A57" s="11" t="s">
        <v>216</v>
      </c>
      <c r="B57" s="11" t="s">
        <v>217</v>
      </c>
      <c r="C57" s="11"/>
      <c r="D57" s="11"/>
      <c r="E57" s="11" t="s">
        <v>48</v>
      </c>
      <c r="F57" s="11">
        <v>2</v>
      </c>
      <c r="G57" s="24">
        <v>45000</v>
      </c>
      <c r="H57" s="11">
        <f t="shared" si="20"/>
        <v>3</v>
      </c>
      <c r="I57" s="11">
        <f t="shared" ref="I57:I59" si="23">VLOOKUP(F57, R$13:S$33, 2, FALSE)</f>
        <v>1</v>
      </c>
      <c r="J57" s="13">
        <f t="shared" si="21"/>
        <v>50000</v>
      </c>
      <c r="K57" s="13">
        <f t="shared" si="22"/>
        <v>5000</v>
      </c>
      <c r="L57" s="31" t="s">
        <v>218</v>
      </c>
      <c r="M57" s="13" t="s">
        <v>219</v>
      </c>
      <c r="N57" s="13" t="s">
        <v>220</v>
      </c>
      <c r="O57" s="14">
        <f>K58/J58</f>
        <v>0.16666666666666666</v>
      </c>
      <c r="P57" s="15">
        <f>K58/G58</f>
        <v>0.2</v>
      </c>
      <c r="Q57" s="15"/>
      <c r="T57" s="26" t="s">
        <v>221</v>
      </c>
      <c r="U57" s="30">
        <v>25000</v>
      </c>
    </row>
    <row r="58" spans="1:21" ht="15" x14ac:dyDescent="0.25">
      <c r="A58" s="11" t="s">
        <v>222</v>
      </c>
      <c r="B58" s="11" t="s">
        <v>223</v>
      </c>
      <c r="C58" s="11"/>
      <c r="D58" s="11"/>
      <c r="E58" s="11" t="s">
        <v>40</v>
      </c>
      <c r="F58" s="11">
        <v>1</v>
      </c>
      <c r="G58" s="13">
        <v>25000</v>
      </c>
      <c r="H58" s="11">
        <f>VLOOKUP(E58, R$5:S$10, 2, FALSE)</f>
        <v>2</v>
      </c>
      <c r="I58" s="11">
        <f>VLOOKUP(F58, R$13:S$33, 2, FALSE)</f>
        <v>1</v>
      </c>
      <c r="J58" s="13">
        <v>30000</v>
      </c>
      <c r="K58" s="13">
        <f>J58-G58</f>
        <v>5000</v>
      </c>
      <c r="L58" s="13"/>
      <c r="M58" s="13"/>
      <c r="N58" s="13"/>
      <c r="O58" s="14">
        <f>K59/J59</f>
        <v>0.16666666666666666</v>
      </c>
      <c r="P58" s="15">
        <f>K59/G59</f>
        <v>0.2</v>
      </c>
      <c r="Q58" s="15"/>
      <c r="T58" s="26" t="s">
        <v>224</v>
      </c>
      <c r="U58" s="30">
        <v>40000</v>
      </c>
    </row>
    <row r="59" spans="1:21" ht="15" x14ac:dyDescent="0.25">
      <c r="A59" s="11" t="s">
        <v>225</v>
      </c>
      <c r="B59" s="11" t="s">
        <v>226</v>
      </c>
      <c r="C59" s="11"/>
      <c r="D59" s="11"/>
      <c r="E59" s="11" t="s">
        <v>227</v>
      </c>
      <c r="F59" s="11">
        <v>2</v>
      </c>
      <c r="G59" s="24">
        <v>25000</v>
      </c>
      <c r="H59" s="11">
        <f t="shared" si="20"/>
        <v>2</v>
      </c>
      <c r="I59" s="11">
        <f t="shared" si="23"/>
        <v>1</v>
      </c>
      <c r="J59" s="13">
        <v>30000</v>
      </c>
      <c r="K59" s="13">
        <f t="shared" si="22"/>
        <v>5000</v>
      </c>
      <c r="L59" s="31" t="s">
        <v>228</v>
      </c>
      <c r="M59" s="13" t="s">
        <v>114</v>
      </c>
      <c r="N59" s="13" t="s">
        <v>229</v>
      </c>
      <c r="O59" s="14"/>
      <c r="P59" s="15"/>
      <c r="Q59" s="15"/>
      <c r="T59"/>
      <c r="U59" s="32"/>
    </row>
    <row r="60" spans="1:21" ht="15" x14ac:dyDescent="0.25">
      <c r="A60" s="11"/>
      <c r="B60" s="11"/>
      <c r="C60" s="11"/>
      <c r="D60" s="11"/>
      <c r="E60" s="11"/>
      <c r="F60" s="11"/>
      <c r="G60" s="24"/>
      <c r="H60" s="11"/>
      <c r="I60" s="11"/>
      <c r="J60" s="13"/>
      <c r="K60" s="13"/>
      <c r="L60" s="13"/>
      <c r="M60" s="13"/>
      <c r="N60" s="13"/>
      <c r="O60" s="14"/>
      <c r="P60" s="15"/>
      <c r="Q60" s="15"/>
      <c r="T60"/>
      <c r="U60" s="32"/>
    </row>
    <row r="61" spans="1:21" ht="15" x14ac:dyDescent="0.25">
      <c r="A61" s="18" t="s">
        <v>230</v>
      </c>
      <c r="B61" s="11"/>
      <c r="C61" s="11"/>
      <c r="D61" s="11"/>
      <c r="E61" s="11"/>
      <c r="F61" s="11"/>
      <c r="G61" s="24"/>
      <c r="H61" s="11"/>
      <c r="I61" s="11"/>
      <c r="J61" s="13"/>
      <c r="K61" s="13"/>
      <c r="L61" s="13"/>
      <c r="M61" s="13"/>
      <c r="N61" s="13"/>
      <c r="O61" s="14">
        <f>K62/J62</f>
        <v>0</v>
      </c>
      <c r="P61" s="15">
        <f>K62/G62</f>
        <v>0</v>
      </c>
      <c r="Q61" s="15"/>
      <c r="T61"/>
      <c r="U61" s="32"/>
    </row>
    <row r="62" spans="1:21" ht="15" x14ac:dyDescent="0.25">
      <c r="A62" s="11" t="s">
        <v>231</v>
      </c>
      <c r="B62" s="11" t="s">
        <v>230</v>
      </c>
      <c r="C62" s="11"/>
      <c r="D62" s="11"/>
      <c r="E62" s="11" t="s">
        <v>68</v>
      </c>
      <c r="F62" s="11">
        <v>16</v>
      </c>
      <c r="G62" s="24">
        <v>50000</v>
      </c>
      <c r="H62" s="11">
        <f t="shared" ref="H62:H66" si="24">VLOOKUP(E62, R$5:S$10, 2, FALSE)</f>
        <v>1</v>
      </c>
      <c r="I62" s="11">
        <f t="shared" ref="I62:I66" si="25">VLOOKUP(F62, R$13:S$33, 2, FALSE)</f>
        <v>5</v>
      </c>
      <c r="J62" s="24">
        <v>50000</v>
      </c>
      <c r="K62" s="13">
        <f t="shared" ref="K62:K66" si="26">J62-G62</f>
        <v>0</v>
      </c>
      <c r="L62" s="13" t="s">
        <v>232</v>
      </c>
      <c r="M62" s="13" t="s">
        <v>233</v>
      </c>
      <c r="N62" s="13" t="s">
        <v>231</v>
      </c>
      <c r="O62" s="14">
        <f>K63/J63</f>
        <v>0</v>
      </c>
      <c r="P62" s="15">
        <f>K63/G63</f>
        <v>0</v>
      </c>
      <c r="Q62" s="15"/>
      <c r="T62"/>
      <c r="U62" s="32"/>
    </row>
    <row r="63" spans="1:21" ht="15" x14ac:dyDescent="0.25">
      <c r="A63" s="11" t="s">
        <v>234</v>
      </c>
      <c r="B63" s="11" t="s">
        <v>230</v>
      </c>
      <c r="C63" s="11"/>
      <c r="D63" s="11"/>
      <c r="E63" s="11" t="s">
        <v>68</v>
      </c>
      <c r="F63" s="11">
        <v>3</v>
      </c>
      <c r="G63" s="24">
        <v>25000</v>
      </c>
      <c r="H63" s="11">
        <f t="shared" si="24"/>
        <v>1</v>
      </c>
      <c r="I63" s="11">
        <f t="shared" si="25"/>
        <v>2</v>
      </c>
      <c r="J63" s="24">
        <v>25000</v>
      </c>
      <c r="K63" s="13">
        <f t="shared" si="26"/>
        <v>0</v>
      </c>
      <c r="L63" s="31" t="s">
        <v>235</v>
      </c>
      <c r="M63" s="13" t="s">
        <v>97</v>
      </c>
      <c r="N63" s="13" t="s">
        <v>234</v>
      </c>
      <c r="O63" s="14">
        <f>K64/J64</f>
        <v>0</v>
      </c>
      <c r="P63" s="15">
        <f>K64/G64</f>
        <v>0</v>
      </c>
      <c r="Q63" s="15"/>
      <c r="T63"/>
      <c r="U63" s="32"/>
    </row>
    <row r="64" spans="1:21" ht="15" x14ac:dyDescent="0.25">
      <c r="A64" s="11" t="s">
        <v>236</v>
      </c>
      <c r="B64" s="11" t="s">
        <v>230</v>
      </c>
      <c r="C64" s="11"/>
      <c r="D64" s="11"/>
      <c r="E64" s="11" t="s">
        <v>68</v>
      </c>
      <c r="F64" s="11">
        <v>3</v>
      </c>
      <c r="G64" s="24">
        <v>25000</v>
      </c>
      <c r="H64" s="11">
        <f t="shared" si="24"/>
        <v>1</v>
      </c>
      <c r="I64" s="11">
        <f t="shared" si="25"/>
        <v>2</v>
      </c>
      <c r="J64" s="24">
        <v>25000</v>
      </c>
      <c r="K64" s="13">
        <f t="shared" si="26"/>
        <v>0</v>
      </c>
      <c r="L64" s="31" t="s">
        <v>237</v>
      </c>
      <c r="M64" s="13" t="s">
        <v>29</v>
      </c>
      <c r="N64" s="13" t="s">
        <v>236</v>
      </c>
      <c r="O64" s="14">
        <f>K65/J65</f>
        <v>0</v>
      </c>
      <c r="P64" s="15">
        <f>K65/G65</f>
        <v>0</v>
      </c>
      <c r="Q64" s="15"/>
      <c r="T64"/>
      <c r="U64" s="32"/>
    </row>
    <row r="65" spans="1:21" ht="15" x14ac:dyDescent="0.25">
      <c r="A65" s="11" t="s">
        <v>238</v>
      </c>
      <c r="B65" s="11" t="s">
        <v>230</v>
      </c>
      <c r="C65" s="11"/>
      <c r="D65" s="11"/>
      <c r="E65" s="11" t="s">
        <v>227</v>
      </c>
      <c r="F65" s="11">
        <v>2</v>
      </c>
      <c r="G65" s="24">
        <v>40000</v>
      </c>
      <c r="H65" s="11">
        <f t="shared" si="24"/>
        <v>2</v>
      </c>
      <c r="I65" s="11">
        <f t="shared" si="25"/>
        <v>1</v>
      </c>
      <c r="J65" s="24">
        <v>40000</v>
      </c>
      <c r="K65" s="13">
        <f t="shared" si="26"/>
        <v>0</v>
      </c>
      <c r="L65" s="13" t="s">
        <v>239</v>
      </c>
      <c r="M65" s="13" t="s">
        <v>127</v>
      </c>
      <c r="N65" s="13" t="s">
        <v>240</v>
      </c>
      <c r="O65" s="14">
        <f>K66/J66</f>
        <v>0</v>
      </c>
      <c r="P65" s="15">
        <f>K66/G66</f>
        <v>0</v>
      </c>
      <c r="Q65" s="15"/>
      <c r="T65"/>
      <c r="U65" s="32"/>
    </row>
    <row r="66" spans="1:21" ht="15" x14ac:dyDescent="0.25">
      <c r="A66" s="11" t="s">
        <v>241</v>
      </c>
      <c r="B66" s="11" t="s">
        <v>230</v>
      </c>
      <c r="C66" s="11"/>
      <c r="D66" s="11"/>
      <c r="E66" s="11" t="s">
        <v>68</v>
      </c>
      <c r="F66" s="11">
        <v>1</v>
      </c>
      <c r="G66" s="24">
        <v>10000</v>
      </c>
      <c r="H66" s="11">
        <f t="shared" si="24"/>
        <v>1</v>
      </c>
      <c r="I66" s="11">
        <f t="shared" si="25"/>
        <v>1</v>
      </c>
      <c r="J66" s="24">
        <v>10000</v>
      </c>
      <c r="K66" s="13">
        <f t="shared" si="26"/>
        <v>0</v>
      </c>
      <c r="L66" s="13" t="s">
        <v>242</v>
      </c>
      <c r="M66" s="13" t="s">
        <v>127</v>
      </c>
      <c r="N66" s="13" t="s">
        <v>243</v>
      </c>
      <c r="O66" s="23"/>
      <c r="P66" s="15"/>
      <c r="Q66" s="15"/>
      <c r="T66"/>
      <c r="U66" s="32"/>
    </row>
    <row r="67" spans="1:21" ht="13.5" customHeight="1" x14ac:dyDescent="0.25">
      <c r="A67" s="11"/>
      <c r="B67" s="11"/>
      <c r="C67" s="11"/>
      <c r="D67" s="11"/>
      <c r="E67" s="11"/>
      <c r="F67" s="11"/>
      <c r="G67" s="22"/>
      <c r="H67" s="11"/>
      <c r="I67" s="11"/>
      <c r="J67" s="13"/>
      <c r="K67" s="13"/>
      <c r="L67" s="13"/>
      <c r="M67" s="13"/>
      <c r="N67" s="13"/>
      <c r="O67" s="14"/>
      <c r="P67" s="15"/>
      <c r="Q67" s="15"/>
      <c r="T67"/>
      <c r="U67" s="32"/>
    </row>
    <row r="68" spans="1:21" ht="13.5" customHeight="1" x14ac:dyDescent="0.25">
      <c r="A68" s="18" t="s">
        <v>244</v>
      </c>
      <c r="B68" s="11"/>
      <c r="C68" s="11"/>
      <c r="D68" s="11"/>
      <c r="E68" s="11"/>
      <c r="F68" s="11"/>
      <c r="G68" s="13"/>
      <c r="H68" s="11"/>
      <c r="I68" s="11"/>
      <c r="J68" s="13"/>
      <c r="K68" s="13"/>
      <c r="L68" s="13"/>
      <c r="M68" s="13"/>
      <c r="N68" s="13"/>
      <c r="O68" s="14">
        <f>K69/J69</f>
        <v>0.4</v>
      </c>
      <c r="P68" s="15">
        <f>K69/G69</f>
        <v>0.66666666666666663</v>
      </c>
      <c r="Q68" s="15"/>
      <c r="T68"/>
      <c r="U68" s="32"/>
    </row>
    <row r="69" spans="1:21" ht="13.5" customHeight="1" x14ac:dyDescent="0.25">
      <c r="A69" s="11" t="s">
        <v>245</v>
      </c>
      <c r="B69" s="11"/>
      <c r="C69" s="11"/>
      <c r="D69" s="11"/>
      <c r="E69" s="11" t="s">
        <v>40</v>
      </c>
      <c r="F69" s="11">
        <v>9</v>
      </c>
      <c r="G69" s="13">
        <v>30000</v>
      </c>
      <c r="H69" s="11">
        <f t="shared" ref="H69:H78" si="27">VLOOKUP(E69, R$5:S$10, 2, FALSE)</f>
        <v>2</v>
      </c>
      <c r="I69" s="11">
        <f t="shared" ref="I69:I78" si="28">VLOOKUP(F69, R$13:S$33, 2, FALSE)</f>
        <v>3</v>
      </c>
      <c r="J69" s="13">
        <f t="shared" ref="J69:J78" si="29">INDEX($T$5:$Y$10, MATCH(H69, $S$5:$S$10, 0), MATCH(I69, $T$4:$X$4, 0))</f>
        <v>50000</v>
      </c>
      <c r="K69" s="13">
        <f>J69-G69</f>
        <v>20000</v>
      </c>
      <c r="L69" s="13" t="s">
        <v>246</v>
      </c>
      <c r="M69" s="13" t="s">
        <v>114</v>
      </c>
      <c r="N69" s="13" t="s">
        <v>247</v>
      </c>
      <c r="O69" s="14"/>
      <c r="P69" s="15"/>
      <c r="Q69" s="15"/>
      <c r="T69"/>
      <c r="U69" s="32"/>
    </row>
    <row r="70" spans="1:21" x14ac:dyDescent="0.2">
      <c r="A70" s="11" t="s">
        <v>248</v>
      </c>
      <c r="B70" s="11" t="s">
        <v>249</v>
      </c>
      <c r="C70" s="11"/>
      <c r="D70" s="11"/>
      <c r="E70" s="11" t="s">
        <v>40</v>
      </c>
      <c r="F70" s="11">
        <v>9</v>
      </c>
      <c r="G70" s="13">
        <v>40000</v>
      </c>
      <c r="H70" s="11">
        <f t="shared" si="27"/>
        <v>2</v>
      </c>
      <c r="I70" s="11">
        <f t="shared" si="28"/>
        <v>3</v>
      </c>
      <c r="J70" s="13">
        <f t="shared" si="29"/>
        <v>50000</v>
      </c>
      <c r="K70" s="13">
        <f>J70-G70</f>
        <v>10000</v>
      </c>
      <c r="L70" s="13" t="s">
        <v>250</v>
      </c>
      <c r="M70" s="13" t="s">
        <v>29</v>
      </c>
      <c r="N70" s="13" t="s">
        <v>251</v>
      </c>
      <c r="O70" s="14">
        <f t="shared" ref="O70:O78" si="30">K71/J71</f>
        <v>0.2857142857142857</v>
      </c>
      <c r="P70" s="15">
        <f t="shared" ref="P70:P78" si="31">K71/G71</f>
        <v>0.4</v>
      </c>
      <c r="Q70" s="15"/>
    </row>
    <row r="71" spans="1:21" x14ac:dyDescent="0.2">
      <c r="A71" s="11" t="s">
        <v>252</v>
      </c>
      <c r="B71" s="11"/>
      <c r="C71" s="11"/>
      <c r="D71" s="11"/>
      <c r="E71" s="11" t="s">
        <v>40</v>
      </c>
      <c r="F71" s="11">
        <v>1</v>
      </c>
      <c r="G71" s="13">
        <v>25000</v>
      </c>
      <c r="H71" s="11">
        <f t="shared" si="27"/>
        <v>2</v>
      </c>
      <c r="I71" s="11">
        <f t="shared" si="28"/>
        <v>1</v>
      </c>
      <c r="J71" s="13">
        <v>35000</v>
      </c>
      <c r="K71" s="13">
        <f t="shared" ref="K71:K78" si="32">J71-G71</f>
        <v>10000</v>
      </c>
      <c r="L71" s="13"/>
      <c r="M71" s="13"/>
      <c r="N71" s="13"/>
      <c r="O71" s="14">
        <f t="shared" si="30"/>
        <v>0.33333333333333331</v>
      </c>
      <c r="P71" s="15">
        <f t="shared" si="31"/>
        <v>0.5</v>
      </c>
    </row>
    <row r="72" spans="1:21" x14ac:dyDescent="0.2">
      <c r="A72" s="11" t="s">
        <v>253</v>
      </c>
      <c r="B72" s="11"/>
      <c r="C72" s="11"/>
      <c r="D72" s="11"/>
      <c r="E72" s="11" t="s">
        <v>68</v>
      </c>
      <c r="F72" s="11">
        <v>1</v>
      </c>
      <c r="G72" s="13">
        <v>10000</v>
      </c>
      <c r="H72" s="11">
        <f t="shared" si="27"/>
        <v>1</v>
      </c>
      <c r="I72" s="11">
        <f t="shared" si="28"/>
        <v>1</v>
      </c>
      <c r="J72" s="13">
        <v>15000</v>
      </c>
      <c r="K72" s="13">
        <f t="shared" si="32"/>
        <v>5000</v>
      </c>
      <c r="L72" s="13"/>
      <c r="M72" s="13"/>
      <c r="N72" s="13"/>
      <c r="O72" s="14">
        <f t="shared" si="30"/>
        <v>0</v>
      </c>
      <c r="P72" s="15">
        <f t="shared" si="31"/>
        <v>0</v>
      </c>
    </row>
    <row r="73" spans="1:21" x14ac:dyDescent="0.2">
      <c r="A73" s="11" t="s">
        <v>254</v>
      </c>
      <c r="B73" s="11"/>
      <c r="C73" s="11"/>
      <c r="D73" s="11"/>
      <c r="E73" s="11" t="s">
        <v>40</v>
      </c>
      <c r="F73" s="11">
        <v>5</v>
      </c>
      <c r="G73" s="13">
        <v>30000</v>
      </c>
      <c r="H73" s="11">
        <f t="shared" si="27"/>
        <v>2</v>
      </c>
      <c r="I73" s="11">
        <f t="shared" si="28"/>
        <v>2</v>
      </c>
      <c r="J73" s="13">
        <v>30000</v>
      </c>
      <c r="K73" s="13">
        <f t="shared" si="32"/>
        <v>0</v>
      </c>
      <c r="L73" s="13" t="s">
        <v>255</v>
      </c>
      <c r="M73" s="13" t="s">
        <v>29</v>
      </c>
      <c r="N73" s="13" t="s">
        <v>254</v>
      </c>
      <c r="O73" s="14">
        <f t="shared" si="30"/>
        <v>0.53333333333333333</v>
      </c>
      <c r="P73" s="15">
        <f t="shared" si="31"/>
        <v>1.1428571428571428</v>
      </c>
    </row>
    <row r="74" spans="1:21" x14ac:dyDescent="0.2">
      <c r="A74" s="11" t="s">
        <v>256</v>
      </c>
      <c r="B74" s="11"/>
      <c r="C74" s="11"/>
      <c r="D74" s="11"/>
      <c r="E74" s="11" t="s">
        <v>68</v>
      </c>
      <c r="F74" s="11">
        <v>1</v>
      </c>
      <c r="G74" s="13">
        <v>7000</v>
      </c>
      <c r="H74" s="11">
        <f t="shared" si="27"/>
        <v>1</v>
      </c>
      <c r="I74" s="11">
        <f t="shared" si="28"/>
        <v>1</v>
      </c>
      <c r="J74" s="13">
        <v>15000</v>
      </c>
      <c r="K74" s="13">
        <f t="shared" si="32"/>
        <v>8000</v>
      </c>
      <c r="O74" s="14">
        <f t="shared" si="30"/>
        <v>0.25</v>
      </c>
      <c r="P74" s="15">
        <f t="shared" si="31"/>
        <v>0.33333333333333331</v>
      </c>
    </row>
    <row r="75" spans="1:21" x14ac:dyDescent="0.2">
      <c r="A75" s="11" t="s">
        <v>257</v>
      </c>
      <c r="B75" s="11"/>
      <c r="C75" s="11"/>
      <c r="D75" s="11"/>
      <c r="E75" s="11" t="s">
        <v>68</v>
      </c>
      <c r="F75" s="11">
        <v>1</v>
      </c>
      <c r="G75" s="13">
        <v>15000</v>
      </c>
      <c r="H75" s="11">
        <f t="shared" si="27"/>
        <v>1</v>
      </c>
      <c r="I75" s="11">
        <f t="shared" si="28"/>
        <v>1</v>
      </c>
      <c r="J75" s="13">
        <f t="shared" si="29"/>
        <v>20000</v>
      </c>
      <c r="K75" s="13">
        <f t="shared" si="32"/>
        <v>5000</v>
      </c>
      <c r="L75" s="13" t="s">
        <v>258</v>
      </c>
      <c r="M75" s="13" t="s">
        <v>108</v>
      </c>
      <c r="N75" s="13" t="s">
        <v>259</v>
      </c>
      <c r="O75" s="14">
        <f t="shared" si="30"/>
        <v>0.25</v>
      </c>
      <c r="P75" s="15">
        <f t="shared" si="31"/>
        <v>0.33333333333333331</v>
      </c>
    </row>
    <row r="76" spans="1:21" x14ac:dyDescent="0.2">
      <c r="A76" s="11" t="s">
        <v>260</v>
      </c>
      <c r="B76" s="11"/>
      <c r="C76" s="11"/>
      <c r="D76" s="11"/>
      <c r="E76" s="11" t="s">
        <v>40</v>
      </c>
      <c r="F76" s="11">
        <v>4</v>
      </c>
      <c r="G76" s="13">
        <v>30000</v>
      </c>
      <c r="H76" s="11">
        <f t="shared" si="27"/>
        <v>2</v>
      </c>
      <c r="I76" s="11">
        <f t="shared" si="28"/>
        <v>2</v>
      </c>
      <c r="J76" s="13">
        <f t="shared" si="29"/>
        <v>40000</v>
      </c>
      <c r="K76" s="13">
        <f t="shared" si="32"/>
        <v>10000</v>
      </c>
      <c r="L76" s="13"/>
      <c r="M76" s="13"/>
      <c r="N76" s="13"/>
      <c r="O76" s="14">
        <f t="shared" si="30"/>
        <v>0.2857142857142857</v>
      </c>
      <c r="P76" s="15">
        <f t="shared" si="31"/>
        <v>0.4</v>
      </c>
    </row>
    <row r="77" spans="1:21" x14ac:dyDescent="0.2">
      <c r="A77" s="11" t="s">
        <v>261</v>
      </c>
      <c r="B77" s="11"/>
      <c r="C77" s="11"/>
      <c r="D77" s="11"/>
      <c r="E77" s="11" t="s">
        <v>40</v>
      </c>
      <c r="F77" s="11">
        <v>1</v>
      </c>
      <c r="G77" s="13">
        <v>25000</v>
      </c>
      <c r="H77" s="11">
        <f t="shared" si="27"/>
        <v>2</v>
      </c>
      <c r="I77" s="11">
        <f t="shared" si="28"/>
        <v>1</v>
      </c>
      <c r="J77" s="13">
        <v>35000</v>
      </c>
      <c r="K77" s="13">
        <f t="shared" si="32"/>
        <v>10000</v>
      </c>
      <c r="L77" s="13"/>
      <c r="M77" s="13"/>
      <c r="N77" s="13"/>
      <c r="O77" s="14">
        <f t="shared" si="30"/>
        <v>0.33333333333333331</v>
      </c>
      <c r="P77" s="15">
        <f t="shared" si="31"/>
        <v>0.5</v>
      </c>
    </row>
    <row r="78" spans="1:21" x14ac:dyDescent="0.2">
      <c r="A78" s="11" t="s">
        <v>262</v>
      </c>
      <c r="B78" s="11"/>
      <c r="C78" s="11"/>
      <c r="D78" s="11"/>
      <c r="E78" s="11" t="s">
        <v>16</v>
      </c>
      <c r="F78" s="11">
        <v>5</v>
      </c>
      <c r="G78" s="13">
        <v>100000</v>
      </c>
      <c r="H78" s="11">
        <f t="shared" si="27"/>
        <v>6</v>
      </c>
      <c r="I78" s="11">
        <f t="shared" si="28"/>
        <v>2</v>
      </c>
      <c r="J78" s="13">
        <f t="shared" si="29"/>
        <v>150000</v>
      </c>
      <c r="K78" s="13">
        <f t="shared" si="32"/>
        <v>50000</v>
      </c>
      <c r="L78" s="13"/>
      <c r="M78" s="13"/>
      <c r="N78" s="13"/>
      <c r="O78" s="23">
        <f t="shared" si="30"/>
        <v>0.25263157894736843</v>
      </c>
      <c r="P78" s="15">
        <f t="shared" si="31"/>
        <v>0.3380281690140845</v>
      </c>
    </row>
    <row r="79" spans="1:21" x14ac:dyDescent="0.2">
      <c r="A79" s="11"/>
      <c r="B79" s="11"/>
      <c r="C79" s="11"/>
      <c r="D79" s="11"/>
      <c r="E79" s="11"/>
      <c r="F79" s="11"/>
      <c r="G79" s="17">
        <f>SUM(G71:G77)</f>
        <v>142000</v>
      </c>
      <c r="H79" s="17"/>
      <c r="I79" s="17"/>
      <c r="J79" s="17">
        <f>SUM(J71:J77)</f>
        <v>190000</v>
      </c>
      <c r="K79" s="17">
        <f>SUM(K71:K77)</f>
        <v>48000</v>
      </c>
      <c r="L79" s="17"/>
      <c r="M79" s="17"/>
      <c r="N79" s="17"/>
      <c r="O79" s="14"/>
      <c r="P79" s="15"/>
    </row>
    <row r="80" spans="1:21" x14ac:dyDescent="0.2">
      <c r="A80" s="11"/>
      <c r="B80" s="11"/>
      <c r="C80" s="11"/>
      <c r="D80" s="11"/>
      <c r="E80" s="11"/>
      <c r="F80" s="11"/>
      <c r="G80" s="13"/>
      <c r="H80" s="13"/>
      <c r="I80" s="13"/>
      <c r="J80" s="13"/>
      <c r="K80" s="13"/>
      <c r="L80" s="13"/>
      <c r="M80" s="13"/>
      <c r="N80" s="13"/>
      <c r="O80" s="13"/>
      <c r="P80" s="15">
        <f>K81/G81</f>
        <v>0.44347713935641969</v>
      </c>
    </row>
    <row r="81" spans="1:16" x14ac:dyDescent="0.2">
      <c r="A81" s="11"/>
      <c r="B81" s="11"/>
      <c r="C81" s="11"/>
      <c r="D81" s="11"/>
      <c r="E81" s="11"/>
      <c r="F81" s="11"/>
      <c r="G81" s="13">
        <f>SUM(G79+G53+G36+G28+G13+G4)</f>
        <v>1938375</v>
      </c>
      <c r="H81" s="13"/>
      <c r="I81" s="13"/>
      <c r="J81" s="13">
        <f>SUM(J79+J53+J36+J28+J13+J4)</f>
        <v>2798000</v>
      </c>
      <c r="K81" s="13">
        <f>SUM(K79+K53+K36+K28+K13+K4)</f>
        <v>859625</v>
      </c>
      <c r="L81" s="13"/>
      <c r="M81" s="13"/>
      <c r="N81" s="13"/>
      <c r="O81" s="13"/>
      <c r="P81" s="15"/>
    </row>
    <row r="82" spans="1:1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4"/>
      <c r="K82" s="14">
        <f>K81/J81</f>
        <v>0.30722837741243747</v>
      </c>
      <c r="L82" s="14"/>
      <c r="M82" s="14"/>
      <c r="N82" s="14"/>
    </row>
    <row r="83" spans="1:16" x14ac:dyDescent="0.2">
      <c r="K83" s="15"/>
      <c r="L83" s="15"/>
      <c r="M83" s="15"/>
      <c r="N83" s="15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 Abdulrahman</dc:creator>
  <cp:lastModifiedBy>Sali Abdulrahman</cp:lastModifiedBy>
  <dcterms:created xsi:type="dcterms:W3CDTF">2026-03-31T09:37:46Z</dcterms:created>
  <dcterms:modified xsi:type="dcterms:W3CDTF">2026-03-31T09:38:35Z</dcterms:modified>
</cp:coreProperties>
</file>