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SREA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4" i="1" l="1"/>
  <c r="D104" i="1"/>
  <c r="D113" i="1"/>
  <c r="D89" i="1"/>
  <c r="D81" i="1"/>
  <c r="D60" i="1"/>
  <c r="D42" i="1"/>
  <c r="D37" i="1"/>
  <c r="D33" i="1"/>
  <c r="D24" i="1"/>
  <c r="D20" i="1"/>
  <c r="D9" i="1"/>
  <c r="D5" i="1"/>
</calcChain>
</file>

<file path=xl/sharedStrings.xml><?xml version="1.0" encoding="utf-8"?>
<sst xmlns="http://schemas.openxmlformats.org/spreadsheetml/2006/main" count="112" uniqueCount="47">
  <si>
    <t>Stock for the end of the month February 2026</t>
  </si>
  <si>
    <t>S/N</t>
  </si>
  <si>
    <t>COLOUR</t>
  </si>
  <si>
    <t>C/NO</t>
  </si>
  <si>
    <t xml:space="preserve">KG </t>
  </si>
  <si>
    <t>REMARK</t>
  </si>
  <si>
    <t>GB</t>
  </si>
  <si>
    <t>F0.55</t>
  </si>
  <si>
    <t>PR</t>
  </si>
  <si>
    <t>BB</t>
  </si>
  <si>
    <t>BG</t>
  </si>
  <si>
    <t>IV</t>
  </si>
  <si>
    <t>DG</t>
  </si>
  <si>
    <t>ST</t>
  </si>
  <si>
    <t>TB</t>
  </si>
  <si>
    <t>NB</t>
  </si>
  <si>
    <t>HMB</t>
  </si>
  <si>
    <t>PG</t>
  </si>
  <si>
    <t>ACCESSORIES</t>
  </si>
  <si>
    <t>NAILS</t>
  </si>
  <si>
    <t>RIVET</t>
  </si>
  <si>
    <t>SILICON</t>
  </si>
  <si>
    <t>WASHER</t>
  </si>
  <si>
    <t>FELT</t>
  </si>
  <si>
    <t>TAPPING SCREW</t>
  </si>
  <si>
    <t>10 Cartons</t>
  </si>
  <si>
    <t>12 packs</t>
  </si>
  <si>
    <t>20 tubes</t>
  </si>
  <si>
    <t>1700 packs</t>
  </si>
  <si>
    <t>1800 packs</t>
  </si>
  <si>
    <t>42 cartons</t>
  </si>
  <si>
    <t>METRO TILES</t>
  </si>
  <si>
    <t>Milano C&amp;B</t>
  </si>
  <si>
    <t>27 Bundles &amp; 8pcs</t>
  </si>
  <si>
    <t>Classic Black</t>
  </si>
  <si>
    <t>70 Bundles &amp; 18pcs</t>
  </si>
  <si>
    <t>Bond Black</t>
  </si>
  <si>
    <t>82 Bundles &amp; 9pcs</t>
  </si>
  <si>
    <t>Milano Black</t>
  </si>
  <si>
    <t>53 Bundles &amp; 10pcs</t>
  </si>
  <si>
    <t xml:space="preserve">Shingle </t>
  </si>
  <si>
    <t>26 Bundles &amp; 9pcs</t>
  </si>
  <si>
    <t xml:space="preserve">Nails </t>
  </si>
  <si>
    <t>7 cartons &amp; 4 packs</t>
  </si>
  <si>
    <t>1.4m Flatsheet C &amp; B</t>
  </si>
  <si>
    <t>26pcs</t>
  </si>
  <si>
    <t xml:space="preserve">Grand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</si>
</sst>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Views>
    <sheetView tabSelected="1" topLeftCell="A105" workbookViewId="0">
      <selection activeCell="I114" sqref="I114"/>
    </sheetView>
  </sheetViews>
  <sheetFormatPr defaultRowHeight="15" x14ac:dyDescent="0.25"/>
  <cols>
    <col min="1" max="1" width="10.85546875" customWidth="1"/>
    <col min="4" max="4" width="11" customWidth="1"/>
    <col min="7" max="7" width="19.28515625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0.45</v>
      </c>
    </row>
    <row r="4" spans="1:5" x14ac:dyDescent="0.25">
      <c r="A4">
        <v>1</v>
      </c>
      <c r="B4" t="s">
        <v>6</v>
      </c>
      <c r="C4">
        <v>1399</v>
      </c>
      <c r="D4">
        <v>798</v>
      </c>
    </row>
    <row r="5" spans="1:5" x14ac:dyDescent="0.25">
      <c r="D5">
        <f>SUM(D4)</f>
        <v>798</v>
      </c>
    </row>
    <row r="7" spans="1:5" x14ac:dyDescent="0.25">
      <c r="A7">
        <v>0.55000000000000004</v>
      </c>
    </row>
    <row r="8" spans="1:5" x14ac:dyDescent="0.25">
      <c r="A8">
        <v>2</v>
      </c>
      <c r="B8" t="s">
        <v>6</v>
      </c>
      <c r="C8">
        <v>1441</v>
      </c>
      <c r="D8">
        <v>30</v>
      </c>
    </row>
    <row r="9" spans="1:5" x14ac:dyDescent="0.25">
      <c r="D9">
        <f>SUM(D8)</f>
        <v>30</v>
      </c>
    </row>
    <row r="11" spans="1:5" x14ac:dyDescent="0.25">
      <c r="A11" t="s">
        <v>7</v>
      </c>
    </row>
    <row r="12" spans="1:5" x14ac:dyDescent="0.25">
      <c r="A12">
        <v>3</v>
      </c>
      <c r="B12" t="s">
        <v>8</v>
      </c>
      <c r="C12">
        <v>1963</v>
      </c>
      <c r="D12">
        <v>1508</v>
      </c>
    </row>
    <row r="13" spans="1:5" x14ac:dyDescent="0.25">
      <c r="A13">
        <v>4</v>
      </c>
      <c r="B13" t="s">
        <v>8</v>
      </c>
      <c r="C13">
        <v>1964</v>
      </c>
      <c r="D13">
        <v>1531</v>
      </c>
    </row>
    <row r="14" spans="1:5" x14ac:dyDescent="0.25">
      <c r="A14">
        <v>5</v>
      </c>
      <c r="B14" t="s">
        <v>8</v>
      </c>
      <c r="C14">
        <v>1965</v>
      </c>
      <c r="D14">
        <v>1514</v>
      </c>
    </row>
    <row r="15" spans="1:5" x14ac:dyDescent="0.25">
      <c r="A15">
        <v>6</v>
      </c>
      <c r="B15" t="s">
        <v>8</v>
      </c>
      <c r="C15">
        <v>1966</v>
      </c>
      <c r="D15">
        <v>526</v>
      </c>
    </row>
    <row r="16" spans="1:5" x14ac:dyDescent="0.25">
      <c r="A16">
        <v>7</v>
      </c>
      <c r="B16" t="s">
        <v>8</v>
      </c>
      <c r="C16">
        <v>1967</v>
      </c>
      <c r="D16">
        <v>559</v>
      </c>
    </row>
    <row r="17" spans="1:4" x14ac:dyDescent="0.25">
      <c r="A17">
        <v>8</v>
      </c>
      <c r="B17" t="s">
        <v>8</v>
      </c>
      <c r="C17">
        <v>1880</v>
      </c>
      <c r="D17">
        <v>7</v>
      </c>
    </row>
    <row r="18" spans="1:4" x14ac:dyDescent="0.25">
      <c r="A18">
        <v>9</v>
      </c>
      <c r="B18" t="s">
        <v>9</v>
      </c>
      <c r="C18">
        <v>1577</v>
      </c>
      <c r="D18">
        <v>8</v>
      </c>
    </row>
    <row r="19" spans="1:4" x14ac:dyDescent="0.25">
      <c r="A19">
        <v>10</v>
      </c>
      <c r="B19" t="s">
        <v>10</v>
      </c>
      <c r="C19">
        <v>1941</v>
      </c>
      <c r="D19">
        <v>803</v>
      </c>
    </row>
    <row r="20" spans="1:4" x14ac:dyDescent="0.25">
      <c r="D20">
        <f>SUM(D12:D19)</f>
        <v>6456</v>
      </c>
    </row>
    <row r="22" spans="1:4" x14ac:dyDescent="0.25">
      <c r="A22">
        <v>0.6</v>
      </c>
    </row>
    <row r="23" spans="1:4" x14ac:dyDescent="0.25">
      <c r="A23">
        <v>11</v>
      </c>
      <c r="B23" t="s">
        <v>11</v>
      </c>
      <c r="C23">
        <v>1455</v>
      </c>
      <c r="D23">
        <v>148</v>
      </c>
    </row>
    <row r="24" spans="1:4" x14ac:dyDescent="0.25">
      <c r="D24">
        <f>SUM(D23)</f>
        <v>148</v>
      </c>
    </row>
    <row r="26" spans="1:4" x14ac:dyDescent="0.25">
      <c r="A26">
        <v>0.7</v>
      </c>
    </row>
    <row r="27" spans="1:4" x14ac:dyDescent="0.25">
      <c r="A27">
        <v>12</v>
      </c>
      <c r="B27" t="s">
        <v>6</v>
      </c>
      <c r="C27">
        <v>1866</v>
      </c>
      <c r="D27">
        <v>225</v>
      </c>
    </row>
    <row r="28" spans="1:4" x14ac:dyDescent="0.25">
      <c r="A28">
        <v>13</v>
      </c>
      <c r="B28" t="s">
        <v>10</v>
      </c>
      <c r="C28">
        <v>1918</v>
      </c>
      <c r="D28">
        <v>158</v>
      </c>
    </row>
    <row r="29" spans="1:4" x14ac:dyDescent="0.25">
      <c r="A29">
        <v>14</v>
      </c>
      <c r="B29" t="s">
        <v>11</v>
      </c>
      <c r="C29">
        <v>1597</v>
      </c>
      <c r="D29">
        <v>101</v>
      </c>
    </row>
    <row r="30" spans="1:4" x14ac:dyDescent="0.25">
      <c r="A30">
        <v>15</v>
      </c>
      <c r="B30" t="s">
        <v>12</v>
      </c>
      <c r="C30">
        <v>1594</v>
      </c>
      <c r="D30">
        <v>64</v>
      </c>
    </row>
    <row r="31" spans="1:4" x14ac:dyDescent="0.25">
      <c r="A31">
        <v>16</v>
      </c>
      <c r="B31" t="s">
        <v>8</v>
      </c>
      <c r="C31">
        <v>1552</v>
      </c>
      <c r="D31">
        <v>55</v>
      </c>
    </row>
    <row r="32" spans="1:4" x14ac:dyDescent="0.25">
      <c r="A32">
        <v>17</v>
      </c>
      <c r="B32" t="s">
        <v>13</v>
      </c>
      <c r="C32">
        <v>1604</v>
      </c>
      <c r="D32">
        <v>401</v>
      </c>
    </row>
    <row r="33" spans="1:4" x14ac:dyDescent="0.25">
      <c r="D33">
        <f>SUM(D27:D32)</f>
        <v>1004</v>
      </c>
    </row>
    <row r="35" spans="1:4" x14ac:dyDescent="0.25">
      <c r="A35">
        <v>0.35</v>
      </c>
    </row>
    <row r="36" spans="1:4" x14ac:dyDescent="0.25">
      <c r="A36">
        <v>18</v>
      </c>
      <c r="B36" t="s">
        <v>6</v>
      </c>
      <c r="C36">
        <v>1896</v>
      </c>
      <c r="D36">
        <v>142</v>
      </c>
    </row>
    <row r="37" spans="1:4" x14ac:dyDescent="0.25">
      <c r="D37">
        <f>SUM(D36)</f>
        <v>142</v>
      </c>
    </row>
    <row r="39" spans="1:4" x14ac:dyDescent="0.25">
      <c r="A39">
        <v>0.4</v>
      </c>
    </row>
    <row r="40" spans="1:4" x14ac:dyDescent="0.25">
      <c r="A40">
        <v>19</v>
      </c>
      <c r="B40" t="s">
        <v>11</v>
      </c>
      <c r="C40">
        <v>1906</v>
      </c>
      <c r="D40">
        <v>382</v>
      </c>
    </row>
    <row r="41" spans="1:4" x14ac:dyDescent="0.25">
      <c r="A41">
        <v>20</v>
      </c>
      <c r="B41" t="s">
        <v>12</v>
      </c>
      <c r="C41">
        <v>1901</v>
      </c>
      <c r="D41">
        <v>197</v>
      </c>
    </row>
    <row r="42" spans="1:4" x14ac:dyDescent="0.25">
      <c r="D42">
        <f>SUM(D40:D41)</f>
        <v>579</v>
      </c>
    </row>
    <row r="44" spans="1:4" x14ac:dyDescent="0.25">
      <c r="A44">
        <v>0.28000000000000003</v>
      </c>
    </row>
    <row r="45" spans="1:4" x14ac:dyDescent="0.25">
      <c r="A45">
        <v>21</v>
      </c>
      <c r="B45" t="s">
        <v>6</v>
      </c>
      <c r="C45">
        <v>1959</v>
      </c>
      <c r="D45">
        <v>2949</v>
      </c>
    </row>
    <row r="46" spans="1:4" x14ac:dyDescent="0.25">
      <c r="A46">
        <v>22</v>
      </c>
      <c r="B46" t="s">
        <v>6</v>
      </c>
      <c r="C46">
        <v>1895</v>
      </c>
      <c r="D46">
        <v>158</v>
      </c>
    </row>
    <row r="47" spans="1:4" x14ac:dyDescent="0.25">
      <c r="A47">
        <v>23</v>
      </c>
      <c r="B47" t="s">
        <v>6</v>
      </c>
      <c r="C47">
        <v>1946</v>
      </c>
      <c r="D47">
        <v>176</v>
      </c>
    </row>
    <row r="48" spans="1:4" x14ac:dyDescent="0.25">
      <c r="A48">
        <v>24</v>
      </c>
      <c r="B48" t="s">
        <v>6</v>
      </c>
      <c r="C48">
        <v>1914</v>
      </c>
      <c r="D48">
        <v>202</v>
      </c>
    </row>
    <row r="49" spans="1:4" x14ac:dyDescent="0.25">
      <c r="A49">
        <v>25</v>
      </c>
      <c r="B49" t="s">
        <v>6</v>
      </c>
      <c r="C49">
        <v>1619</v>
      </c>
      <c r="D49">
        <v>100</v>
      </c>
    </row>
    <row r="50" spans="1:4" x14ac:dyDescent="0.25">
      <c r="A50">
        <v>26</v>
      </c>
      <c r="B50" t="s">
        <v>6</v>
      </c>
      <c r="C50">
        <v>1853</v>
      </c>
      <c r="D50">
        <v>139</v>
      </c>
    </row>
    <row r="51" spans="1:4" x14ac:dyDescent="0.25">
      <c r="A51">
        <v>27</v>
      </c>
      <c r="B51" t="s">
        <v>11</v>
      </c>
      <c r="C51">
        <v>1923</v>
      </c>
      <c r="D51">
        <v>4038</v>
      </c>
    </row>
    <row r="52" spans="1:4" x14ac:dyDescent="0.25">
      <c r="A52">
        <v>28</v>
      </c>
      <c r="B52" t="s">
        <v>11</v>
      </c>
      <c r="C52">
        <v>1929</v>
      </c>
      <c r="D52">
        <v>1398</v>
      </c>
    </row>
    <row r="53" spans="1:4" x14ac:dyDescent="0.25">
      <c r="A53">
        <v>29</v>
      </c>
      <c r="B53" t="s">
        <v>11</v>
      </c>
      <c r="C53">
        <v>1613</v>
      </c>
      <c r="D53">
        <v>110</v>
      </c>
    </row>
    <row r="54" spans="1:4" x14ac:dyDescent="0.25">
      <c r="A54">
        <v>30</v>
      </c>
      <c r="B54" t="s">
        <v>11</v>
      </c>
      <c r="C54">
        <v>1650</v>
      </c>
      <c r="D54">
        <v>77</v>
      </c>
    </row>
    <row r="55" spans="1:4" x14ac:dyDescent="0.25">
      <c r="A55">
        <v>31</v>
      </c>
      <c r="B55" t="s">
        <v>11</v>
      </c>
      <c r="C55">
        <v>1893</v>
      </c>
      <c r="D55">
        <v>69</v>
      </c>
    </row>
    <row r="56" spans="1:4" x14ac:dyDescent="0.25">
      <c r="A56">
        <v>32</v>
      </c>
      <c r="B56" t="s">
        <v>14</v>
      </c>
      <c r="C56">
        <v>1922</v>
      </c>
      <c r="D56">
        <v>3169</v>
      </c>
    </row>
    <row r="57" spans="1:4" x14ac:dyDescent="0.25">
      <c r="A57">
        <v>33</v>
      </c>
      <c r="B57" t="s">
        <v>14</v>
      </c>
      <c r="C57">
        <v>1927</v>
      </c>
    </row>
    <row r="58" spans="1:4" x14ac:dyDescent="0.25">
      <c r="A58">
        <v>34</v>
      </c>
      <c r="B58" t="s">
        <v>14</v>
      </c>
      <c r="C58">
        <v>1889</v>
      </c>
      <c r="D58">
        <v>84</v>
      </c>
    </row>
    <row r="59" spans="1:4" x14ac:dyDescent="0.25">
      <c r="A59">
        <v>35</v>
      </c>
      <c r="B59" t="s">
        <v>10</v>
      </c>
      <c r="C59">
        <v>1824</v>
      </c>
      <c r="D59">
        <v>123</v>
      </c>
    </row>
    <row r="60" spans="1:4" x14ac:dyDescent="0.25">
      <c r="D60">
        <f>SUM(D58:D59)</f>
        <v>207</v>
      </c>
    </row>
    <row r="62" spans="1:4" x14ac:dyDescent="0.25">
      <c r="A62">
        <v>0.24</v>
      </c>
    </row>
    <row r="63" spans="1:4" x14ac:dyDescent="0.25">
      <c r="A63">
        <v>36</v>
      </c>
      <c r="B63" t="s">
        <v>11</v>
      </c>
      <c r="C63">
        <v>1930</v>
      </c>
      <c r="D63">
        <v>2761</v>
      </c>
    </row>
    <row r="64" spans="1:4" x14ac:dyDescent="0.25">
      <c r="A64">
        <v>37</v>
      </c>
      <c r="B64" t="s">
        <v>11</v>
      </c>
      <c r="C64">
        <v>1888</v>
      </c>
      <c r="D64">
        <v>387</v>
      </c>
    </row>
    <row r="65" spans="1:4" x14ac:dyDescent="0.25">
      <c r="A65">
        <v>38</v>
      </c>
      <c r="B65" t="s">
        <v>11</v>
      </c>
      <c r="C65">
        <v>1924</v>
      </c>
      <c r="D65">
        <v>228</v>
      </c>
    </row>
    <row r="66" spans="1:4" x14ac:dyDescent="0.25">
      <c r="A66">
        <v>39</v>
      </c>
      <c r="B66" t="s">
        <v>11</v>
      </c>
      <c r="C66">
        <v>1577</v>
      </c>
      <c r="D66">
        <v>90</v>
      </c>
    </row>
    <row r="67" spans="1:4" x14ac:dyDescent="0.25">
      <c r="A67">
        <v>40</v>
      </c>
      <c r="B67" t="s">
        <v>6</v>
      </c>
      <c r="C67">
        <v>1958</v>
      </c>
      <c r="D67">
        <v>3463</v>
      </c>
    </row>
    <row r="68" spans="1:4" x14ac:dyDescent="0.25">
      <c r="A68">
        <v>41</v>
      </c>
      <c r="B68" t="s">
        <v>6</v>
      </c>
      <c r="C68">
        <v>1926</v>
      </c>
      <c r="D68">
        <v>3009</v>
      </c>
    </row>
    <row r="69" spans="1:4" x14ac:dyDescent="0.25">
      <c r="A69">
        <v>42</v>
      </c>
      <c r="B69" t="s">
        <v>6</v>
      </c>
      <c r="C69">
        <v>1928</v>
      </c>
      <c r="D69">
        <v>841</v>
      </c>
    </row>
    <row r="70" spans="1:4" x14ac:dyDescent="0.25">
      <c r="A70">
        <v>43</v>
      </c>
      <c r="B70" t="s">
        <v>6</v>
      </c>
      <c r="C70">
        <v>1939</v>
      </c>
      <c r="D70">
        <v>150</v>
      </c>
    </row>
    <row r="71" spans="1:4" x14ac:dyDescent="0.25">
      <c r="A71">
        <v>44</v>
      </c>
      <c r="B71" t="s">
        <v>15</v>
      </c>
      <c r="C71">
        <v>1954</v>
      </c>
      <c r="D71">
        <v>3060</v>
      </c>
    </row>
    <row r="72" spans="1:4" x14ac:dyDescent="0.25">
      <c r="A72">
        <v>45</v>
      </c>
      <c r="B72" t="s">
        <v>15</v>
      </c>
      <c r="C72">
        <v>1921</v>
      </c>
      <c r="D72">
        <v>111</v>
      </c>
    </row>
    <row r="73" spans="1:4" x14ac:dyDescent="0.25">
      <c r="A73">
        <v>46</v>
      </c>
      <c r="B73" t="s">
        <v>10</v>
      </c>
      <c r="C73">
        <v>1925</v>
      </c>
      <c r="D73">
        <v>858</v>
      </c>
    </row>
    <row r="74" spans="1:4" x14ac:dyDescent="0.25">
      <c r="A74">
        <v>47</v>
      </c>
      <c r="B74" t="s">
        <v>10</v>
      </c>
      <c r="C74">
        <v>1875</v>
      </c>
      <c r="D74">
        <v>258</v>
      </c>
    </row>
    <row r="75" spans="1:4" x14ac:dyDescent="0.25">
      <c r="A75">
        <v>48</v>
      </c>
      <c r="B75" t="s">
        <v>16</v>
      </c>
      <c r="C75">
        <v>1882</v>
      </c>
      <c r="D75">
        <v>3297</v>
      </c>
    </row>
    <row r="76" spans="1:4" x14ac:dyDescent="0.25">
      <c r="A76">
        <v>49</v>
      </c>
      <c r="B76" t="s">
        <v>16</v>
      </c>
      <c r="C76">
        <v>1516</v>
      </c>
      <c r="D76">
        <v>952</v>
      </c>
    </row>
    <row r="77" spans="1:4" x14ac:dyDescent="0.25">
      <c r="A77">
        <v>50</v>
      </c>
      <c r="B77" t="s">
        <v>16</v>
      </c>
      <c r="C77">
        <v>1544</v>
      </c>
      <c r="D77">
        <v>262</v>
      </c>
    </row>
    <row r="78" spans="1:4" x14ac:dyDescent="0.25">
      <c r="A78">
        <v>51</v>
      </c>
      <c r="B78" t="s">
        <v>14</v>
      </c>
      <c r="C78">
        <v>1953</v>
      </c>
      <c r="D78">
        <v>2814</v>
      </c>
    </row>
    <row r="79" spans="1:4" x14ac:dyDescent="0.25">
      <c r="A79">
        <v>52</v>
      </c>
      <c r="B79" t="s">
        <v>14</v>
      </c>
      <c r="C79">
        <v>1849</v>
      </c>
      <c r="D79">
        <v>99</v>
      </c>
    </row>
    <row r="80" spans="1:4" x14ac:dyDescent="0.25">
      <c r="A80">
        <v>53</v>
      </c>
      <c r="B80" t="s">
        <v>8</v>
      </c>
      <c r="C80">
        <v>1890</v>
      </c>
      <c r="D80">
        <v>1114</v>
      </c>
    </row>
    <row r="81" spans="1:4" x14ac:dyDescent="0.25">
      <c r="D81">
        <f>SUM(D63:D80)</f>
        <v>23754</v>
      </c>
    </row>
    <row r="83" spans="1:4" x14ac:dyDescent="0.25">
      <c r="A83">
        <v>0.22</v>
      </c>
    </row>
    <row r="84" spans="1:4" x14ac:dyDescent="0.25">
      <c r="A84">
        <v>54</v>
      </c>
      <c r="B84" t="s">
        <v>6</v>
      </c>
      <c r="C84">
        <v>1935</v>
      </c>
      <c r="D84">
        <v>1063</v>
      </c>
    </row>
    <row r="85" spans="1:4" x14ac:dyDescent="0.25">
      <c r="A85">
        <v>55</v>
      </c>
      <c r="B85" t="s">
        <v>6</v>
      </c>
      <c r="C85">
        <v>1806</v>
      </c>
      <c r="D85">
        <v>159</v>
      </c>
    </row>
    <row r="86" spans="1:4" x14ac:dyDescent="0.25">
      <c r="A86">
        <v>56</v>
      </c>
      <c r="B86" t="s">
        <v>11</v>
      </c>
      <c r="C86">
        <v>1920</v>
      </c>
      <c r="D86">
        <v>1319</v>
      </c>
    </row>
    <row r="87" spans="1:4" x14ac:dyDescent="0.25">
      <c r="A87">
        <v>57</v>
      </c>
      <c r="B87" t="s">
        <v>11</v>
      </c>
      <c r="C87">
        <v>1335</v>
      </c>
      <c r="D87">
        <v>95</v>
      </c>
    </row>
    <row r="88" spans="1:4" x14ac:dyDescent="0.25">
      <c r="A88">
        <v>58</v>
      </c>
      <c r="B88" t="s">
        <v>10</v>
      </c>
      <c r="C88">
        <v>1957</v>
      </c>
      <c r="D88">
        <v>2913</v>
      </c>
    </row>
    <row r="89" spans="1:4" x14ac:dyDescent="0.25">
      <c r="D89">
        <f>SUM(D84:D88)</f>
        <v>5549</v>
      </c>
    </row>
    <row r="91" spans="1:4" x14ac:dyDescent="0.25">
      <c r="A91">
        <v>0.2</v>
      </c>
    </row>
    <row r="92" spans="1:4" x14ac:dyDescent="0.25">
      <c r="A92">
        <v>59</v>
      </c>
      <c r="B92" t="s">
        <v>11</v>
      </c>
      <c r="C92">
        <v>1961</v>
      </c>
      <c r="D92">
        <v>3331</v>
      </c>
    </row>
    <row r="93" spans="1:4" x14ac:dyDescent="0.25">
      <c r="A93">
        <v>60</v>
      </c>
      <c r="B93" t="s">
        <v>11</v>
      </c>
      <c r="C93">
        <v>1934</v>
      </c>
      <c r="D93">
        <v>3181</v>
      </c>
    </row>
    <row r="94" spans="1:4" x14ac:dyDescent="0.25">
      <c r="A94">
        <v>61</v>
      </c>
      <c r="B94" t="s">
        <v>11</v>
      </c>
      <c r="C94">
        <v>1938</v>
      </c>
      <c r="D94">
        <v>3296</v>
      </c>
    </row>
    <row r="95" spans="1:4" x14ac:dyDescent="0.25">
      <c r="A95">
        <v>62</v>
      </c>
      <c r="B95" t="s">
        <v>15</v>
      </c>
      <c r="C95">
        <v>1892</v>
      </c>
      <c r="D95">
        <v>2956</v>
      </c>
    </row>
    <row r="96" spans="1:4" x14ac:dyDescent="0.25">
      <c r="A96">
        <v>63</v>
      </c>
      <c r="B96" t="s">
        <v>6</v>
      </c>
      <c r="C96">
        <v>1960</v>
      </c>
      <c r="D96">
        <v>3304</v>
      </c>
    </row>
    <row r="97" spans="1:4" x14ac:dyDescent="0.25">
      <c r="A97">
        <v>64</v>
      </c>
      <c r="B97" t="s">
        <v>6</v>
      </c>
      <c r="C97">
        <v>1936</v>
      </c>
      <c r="D97">
        <v>3339</v>
      </c>
    </row>
    <row r="98" spans="1:4" x14ac:dyDescent="0.25">
      <c r="A98">
        <v>65</v>
      </c>
      <c r="B98" t="s">
        <v>6</v>
      </c>
      <c r="C98">
        <v>1884</v>
      </c>
      <c r="D98">
        <v>2757</v>
      </c>
    </row>
    <row r="99" spans="1:4" x14ac:dyDescent="0.25">
      <c r="A99">
        <v>66</v>
      </c>
      <c r="B99" t="s">
        <v>10</v>
      </c>
      <c r="C99">
        <v>1891</v>
      </c>
      <c r="D99">
        <v>2748</v>
      </c>
    </row>
    <row r="100" spans="1:4" x14ac:dyDescent="0.25">
      <c r="A100">
        <v>67</v>
      </c>
      <c r="B100" t="s">
        <v>10</v>
      </c>
      <c r="C100">
        <v>1883</v>
      </c>
      <c r="D100">
        <v>666</v>
      </c>
    </row>
    <row r="101" spans="1:4" x14ac:dyDescent="0.25">
      <c r="A101">
        <v>68</v>
      </c>
      <c r="B101" t="s">
        <v>16</v>
      </c>
      <c r="C101">
        <v>1846</v>
      </c>
      <c r="D101">
        <v>2096</v>
      </c>
    </row>
    <row r="102" spans="1:4" x14ac:dyDescent="0.25">
      <c r="A102">
        <v>69</v>
      </c>
      <c r="B102" t="s">
        <v>17</v>
      </c>
      <c r="C102">
        <v>1907</v>
      </c>
      <c r="D102">
        <v>2403</v>
      </c>
    </row>
    <row r="103" spans="1:4" x14ac:dyDescent="0.25">
      <c r="A103">
        <v>70</v>
      </c>
      <c r="B103" t="s">
        <v>8</v>
      </c>
      <c r="C103">
        <v>1962</v>
      </c>
      <c r="D103">
        <v>3278</v>
      </c>
    </row>
    <row r="104" spans="1:4" x14ac:dyDescent="0.25">
      <c r="D104">
        <f>SUM(D92:D103)</f>
        <v>33355</v>
      </c>
    </row>
    <row r="106" spans="1:4" x14ac:dyDescent="0.25">
      <c r="A106">
        <v>0.18</v>
      </c>
    </row>
    <row r="107" spans="1:4" x14ac:dyDescent="0.25">
      <c r="A107">
        <v>71</v>
      </c>
      <c r="B107" t="s">
        <v>11</v>
      </c>
      <c r="C107">
        <v>1741</v>
      </c>
      <c r="D107">
        <v>148</v>
      </c>
    </row>
    <row r="108" spans="1:4" x14ac:dyDescent="0.25">
      <c r="A108">
        <v>72</v>
      </c>
      <c r="B108" t="s">
        <v>11</v>
      </c>
      <c r="C108">
        <v>1937</v>
      </c>
      <c r="D108">
        <v>2351</v>
      </c>
    </row>
    <row r="109" spans="1:4" x14ac:dyDescent="0.25">
      <c r="A109">
        <v>73</v>
      </c>
      <c r="B109" t="s">
        <v>6</v>
      </c>
      <c r="C109">
        <v>1934</v>
      </c>
      <c r="D109">
        <v>1742</v>
      </c>
    </row>
    <row r="110" spans="1:4" x14ac:dyDescent="0.25">
      <c r="A110">
        <v>74</v>
      </c>
      <c r="B110" t="s">
        <v>8</v>
      </c>
      <c r="C110">
        <v>1755</v>
      </c>
      <c r="D110">
        <v>1940</v>
      </c>
    </row>
    <row r="111" spans="1:4" x14ac:dyDescent="0.25">
      <c r="A111">
        <v>75</v>
      </c>
      <c r="B111" t="s">
        <v>10</v>
      </c>
      <c r="C111">
        <v>1819</v>
      </c>
      <c r="D111">
        <v>1283</v>
      </c>
    </row>
    <row r="112" spans="1:4" x14ac:dyDescent="0.25">
      <c r="A112">
        <v>76</v>
      </c>
      <c r="B112" t="s">
        <v>16</v>
      </c>
      <c r="C112">
        <v>1731</v>
      </c>
      <c r="D112">
        <v>574</v>
      </c>
    </row>
    <row r="113" spans="1:8" x14ac:dyDescent="0.25">
      <c r="D113">
        <f>SUM(D107:D112)</f>
        <v>8038</v>
      </c>
    </row>
    <row r="114" spans="1:8" x14ac:dyDescent="0.25">
      <c r="D114" s="1" t="s">
        <v>46</v>
      </c>
      <c r="E114">
        <f>SUM(D113,D104,D89,D81,D60,D42,D37,D33,D24,D20,D9,D5)</f>
        <v>80060</v>
      </c>
    </row>
    <row r="117" spans="1:8" x14ac:dyDescent="0.25">
      <c r="B117" s="1" t="s">
        <v>18</v>
      </c>
      <c r="H117" s="1" t="s">
        <v>31</v>
      </c>
    </row>
    <row r="118" spans="1:8" x14ac:dyDescent="0.25">
      <c r="A118" t="s">
        <v>19</v>
      </c>
      <c r="B118" t="s">
        <v>25</v>
      </c>
      <c r="G118" t="s">
        <v>32</v>
      </c>
      <c r="H118" t="s">
        <v>33</v>
      </c>
    </row>
    <row r="119" spans="1:8" x14ac:dyDescent="0.25">
      <c r="A119" t="s">
        <v>20</v>
      </c>
      <c r="B119" t="s">
        <v>26</v>
      </c>
      <c r="G119" t="s">
        <v>34</v>
      </c>
      <c r="H119" t="s">
        <v>35</v>
      </c>
    </row>
    <row r="120" spans="1:8" x14ac:dyDescent="0.25">
      <c r="A120" t="s">
        <v>21</v>
      </c>
      <c r="B120" t="s">
        <v>27</v>
      </c>
      <c r="G120" t="s">
        <v>36</v>
      </c>
      <c r="H120" t="s">
        <v>37</v>
      </c>
    </row>
    <row r="121" spans="1:8" x14ac:dyDescent="0.25">
      <c r="A121" t="s">
        <v>22</v>
      </c>
      <c r="B121" t="s">
        <v>28</v>
      </c>
      <c r="G121" t="s">
        <v>38</v>
      </c>
      <c r="H121" t="s">
        <v>39</v>
      </c>
    </row>
    <row r="122" spans="1:8" x14ac:dyDescent="0.25">
      <c r="A122" t="s">
        <v>23</v>
      </c>
      <c r="B122" t="s">
        <v>29</v>
      </c>
      <c r="G122" t="s">
        <v>40</v>
      </c>
      <c r="H122" t="s">
        <v>41</v>
      </c>
    </row>
    <row r="123" spans="1:8" x14ac:dyDescent="0.25">
      <c r="A123" t="s">
        <v>24</v>
      </c>
      <c r="B123" t="s">
        <v>30</v>
      </c>
      <c r="G123" t="s">
        <v>42</v>
      </c>
      <c r="H123" t="s">
        <v>43</v>
      </c>
    </row>
    <row r="124" spans="1:8" x14ac:dyDescent="0.25">
      <c r="G124" t="s">
        <v>44</v>
      </c>
      <c r="H124" t="s">
        <v>45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NESREA</dc:creator>
  <cp:lastModifiedBy>NESREA</cp:lastModifiedBy>
  <dcterms:created xsi:type="dcterms:W3CDTF">2026-03-05T14:01:03Z</dcterms:created>
  <dcterms:modified xsi:type="dcterms:W3CDTF">2026-03-05T14:47:58Z</dcterms:modified>
</cp:coreProperties>
</file>